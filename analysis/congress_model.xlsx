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Results" sheetId="2" state="visible" r:id="rId4"/>
    <sheet name="Inputs" sheetId="3" state="visible" r:id="rId5"/>
    <sheet name="Sensitivity" sheetId="4" state="visible" r:id="rId6"/>
    <sheet name="Model" sheetId="5" state="visible" r:id="rId7"/>
    <sheet name="Country" sheetId="6" state="visible" r:id="rId8"/>
    <sheet name="Market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<sst xmlns="http://schemas.openxmlformats.org/spreadsheetml/2006/main" count="1024" uniqueCount="410">
  <si>
    <t xml:space="preserve">Latin congress model</t>
  </si>
  <si>
    <t xml:space="preserve">What it does: estimates revenue, costs, result and break-even of a salsa and bachata congress in three sizes (300, 800 and 2,000 paying dancers). It is a planning tool, not a forecast.</t>
  </si>
  <si>
    <t xml:space="preserve">How to use it</t>
  </si>
  <si>
    <t xml:space="preserve">1. Go to Inputs. Change only coloured cells. Choose the country in the first row: VAT, ticket fees, music rights and the local price level follow.</t>
  </si>
  <si>
    <t xml:space="preserve">2. Orange cells are values nobody publishes (artist fees, hall rent, hotel price, sponsors): replace the placeholders with what organisers, venues and artists tell you.</t>
  </si>
  <si>
    <t xml:space="preserve">3. Read the results on Results; Model shows every line; Sensitivity shows which lines move the result most.</t>
  </si>
  <si>
    <t xml:space="preserve">Colours</t>
  </si>
  <si>
    <t xml:space="preserve">Blue = public source (price list, tariff, fee page; see Sources).</t>
  </si>
  <si>
    <t xml:space="preserve">Green = market data from our sample of Latin events (see Market).</t>
  </si>
  <si>
    <t xml:space="preserve">Yellow = assumption, reasonable but not measured.</t>
  </si>
  <si>
    <t xml:space="preserve">Orange = to fill: no public value; the number shown is a placeholder.</t>
  </si>
  <si>
    <t xml:space="preserve">Grey = formula, do not type here.</t>
  </si>
  <si>
    <t xml:space="preserve">Sheets</t>
  </si>
  <si>
    <t xml:space="preserve">Inputs: all inputs, with unit, basis and note. Country: country parameters. Model: revenue and cost lines per scenario. Results: summary and break-even. Sensitivity: effect of a 20% change of each line (medium scenario). Market: pass prices of 149 Latin events. Sources: public cost benchmarks with links.</t>
  </si>
  <si>
    <t xml:space="preserve">Definitions</t>
  </si>
  <si>
    <t xml:space="preserve">Prices paid by dancers include VAT; revenue in the model is net of VAT. Break-even dancers = dancers needed to cover the costs of the chosen set-up (artists, rooms, staff stay as in that scenario). Break-even pass price = full pass price that gives a result of zero with the scenario's dancers.</t>
  </si>
  <si>
    <t xml:space="preserve">Limits</t>
  </si>
  <si>
    <t xml:space="preserve">Artist fees, hall rent and hotel prices are not public: until they are filled, the result is only as good as the placeholders. VAT: standard rates by default; reduced cultural rates (column on Country) must be checked per case. Music rights are known only for Germany and Austria; other countries use the German value. The model has no Red Bull or other partner module.</t>
  </si>
  <si>
    <t xml:space="preserve">Built by scripts/build_congress_model.py from research/economics/cost_benchmarks.csv and research/prices/latin_events_detail.csv (Dance Scene Atlas project, October 2026).</t>
  </si>
  <si>
    <t xml:space="preserve">Measure</t>
  </si>
  <si>
    <t xml:space="preserve">How it is computed</t>
  </si>
  <si>
    <t xml:space="preserve">Small</t>
  </si>
  <si>
    <t xml:space="preserve">Medium</t>
  </si>
  <si>
    <t xml:space="preserve">Large</t>
  </si>
  <si>
    <t xml:space="preserve">Paying dancers</t>
  </si>
  <si>
    <t xml:space="preserve">input</t>
  </si>
  <si>
    <t xml:space="preserve">Total revenue</t>
  </si>
  <si>
    <t xml:space="preserve">Model</t>
  </si>
  <si>
    <t xml:space="preserve">Total costs</t>
  </si>
  <si>
    <t xml:space="preserve">Result</t>
  </si>
  <si>
    <t xml:space="preserve">revenue - costs</t>
  </si>
  <si>
    <t xml:space="preserve">Margin</t>
  </si>
  <si>
    <t xml:space="preserve">result / revenue</t>
  </si>
  <si>
    <t xml:space="preserve">Cost per paying dancer</t>
  </si>
  <si>
    <t xml:space="preserve">costs / dancers</t>
  </si>
  <si>
    <t xml:space="preserve">Net revenue per dancer (tickets and hotel)</t>
  </si>
  <si>
    <t xml:space="preserve">(net ticket sales + hotel commission) / dancers</t>
  </si>
  <si>
    <t xml:space="preserve">Variable cost per dancer</t>
  </si>
  <si>
    <t xml:space="preserve">fees, wristband, marketing and its contingency per dancer</t>
  </si>
  <si>
    <t xml:space="preserve">Fixed costs of this set-up</t>
  </si>
  <si>
    <t xml:space="preserve">all other costs, net of sponsors and bar</t>
  </si>
  <si>
    <t xml:space="preserve">Break-even dancers</t>
  </si>
  <si>
    <t xml:space="preserve">fixed costs / (net revenue - variable cost) per dancer</t>
  </si>
  <si>
    <t xml:space="preserve">Result change per EUR of full pass price</t>
  </si>
  <si>
    <t xml:space="preserve">full-pass dancers x (1 - discount) x (net share - fees)</t>
  </si>
  <si>
    <t xml:space="preserve">Break-even full pass price (listed)</t>
  </si>
  <si>
    <t xml:space="preserve">price - result / change per EUR</t>
  </si>
  <si>
    <t xml:space="preserve">Read with care: orange inputs on Inputs are placeholders. Replace them with real offers before using the result.</t>
  </si>
  <si>
    <t xml:space="preserve">Biggest cost lines (medium scenario)</t>
  </si>
  <si>
    <t xml:space="preserve">EUR</t>
  </si>
  <si>
    <t xml:space="preserve">share of costs</t>
  </si>
  <si>
    <t xml:space="preserve">Input</t>
  </si>
  <si>
    <t xml:space="preserve">Unit</t>
  </si>
  <si>
    <t xml:space="preserve">Basis</t>
  </si>
  <si>
    <t xml:space="preserve">Note</t>
  </si>
  <si>
    <t xml:space="preserve">General inputs (one value for all scenarios: column Small)</t>
  </si>
  <si>
    <t xml:space="preserve">Country of the event</t>
  </si>
  <si>
    <t xml:space="preserve">code</t>
  </si>
  <si>
    <t xml:space="preserve">AT</t>
  </si>
  <si>
    <t xml:space="preserve">assumption</t>
  </si>
  <si>
    <t xml:space="preserve">Choose from the list; drives VAT, ticket fees, music rights and the local price level</t>
  </si>
  <si>
    <t xml:space="preserve">Use the reduced VAT rate?</t>
  </si>
  <si>
    <t xml:space="preserve">yes/no</t>
  </si>
  <si>
    <t xml:space="preserve">no</t>
  </si>
  <si>
    <t xml:space="preserve">Dance parties are often taxed at the standard rate; workshops and cultural shows may get a reduced rate. Check with a tax adviser</t>
  </si>
  <si>
    <t xml:space="preserve">Scale local costs to the country's price level?</t>
  </si>
  <si>
    <t xml:space="preserve">yes</t>
  </si>
  <si>
    <t xml:space="preserve">Most cost benchmarks are German prices; 'yes' multiplies local costs by price level of the country / Germany</t>
  </si>
  <si>
    <t xml:space="preserve">Event days</t>
  </si>
  <si>
    <t xml:space="preserve">days</t>
  </si>
  <si>
    <t xml:space="preserve">market data</t>
  </si>
  <si>
    <t xml:space="preserve">Median length of 149 Latin events (rounds AA1, AB)</t>
  </si>
  <si>
    <t xml:space="preserve">Party nights</t>
  </si>
  <si>
    <t xml:space="preserve">nights</t>
  </si>
  <si>
    <t xml:space="preserve">Typical: Friday to Sunday</t>
  </si>
  <si>
    <t xml:space="preserve">Full pass, listed price</t>
  </si>
  <si>
    <t xml:space="preserve">EUR incl. VAT</t>
  </si>
  <si>
    <t xml:space="preserve">Median of 85 randomly drawn Latin events (AA1, AB). Country medians on the sheet Market</t>
  </si>
  <si>
    <t xml:space="preserve">Average discount vs listed price</t>
  </si>
  <si>
    <t xml:space="preserve">%</t>
  </si>
  <si>
    <t xml:space="preserve">Early birds, group and promo codes</t>
  </si>
  <si>
    <t xml:space="preserve">Party-only pass</t>
  </si>
  <si>
    <t xml:space="preserve">Median of 14 events that publish a party pass</t>
  </si>
  <si>
    <t xml:space="preserve">Dancers booking the organiser's hotel package</t>
  </si>
  <si>
    <t xml:space="preserve">To check with organisers</t>
  </si>
  <si>
    <t xml:space="preserve">Hotel package price per person per night</t>
  </si>
  <si>
    <t xml:space="preserve">to fill</t>
  </si>
  <si>
    <t xml:space="preserve">Room price agreed with the hotel</t>
  </si>
  <si>
    <t xml:space="preserve">Hotel commission paid to the organiser</t>
  </si>
  <si>
    <t xml:space="preserve">source</t>
  </si>
  <si>
    <t xml:space="preserve">Kempinski group terms: 12% on net room revenue (AA3, K14)</t>
  </si>
  <si>
    <t xml:space="preserve">Fee per teaching artist (couple or solo), weekend</t>
  </si>
  <si>
    <t xml:space="preserve">Not public. Placeholder only: ask organisers and artists</t>
  </si>
  <si>
    <t xml:space="preserve">People per teaching artist (couples count 2)</t>
  </si>
  <si>
    <t xml:space="preserve">people</t>
  </si>
  <si>
    <t xml:space="preserve">Most line-ups are couples</t>
  </si>
  <si>
    <t xml:space="preserve">Share of artists who fly in</t>
  </si>
  <si>
    <t xml:space="preserve">27 of the 51 most booked artists with a stated base live in Spain (AB)</t>
  </si>
  <si>
    <t xml:space="preserve">Average one-way fare</t>
  </si>
  <si>
    <t xml:space="preserve">Ryanair average fare FY26, without extras (AA3, K10)</t>
  </si>
  <si>
    <t xml:space="preserve">Extras on flights (bags, dates)</t>
  </si>
  <si>
    <t xml:space="preserve">Hotel room per artist per night</t>
  </si>
  <si>
    <t xml:space="preserve">One room per couple or solo</t>
  </si>
  <si>
    <t xml:space="preserve">Meals per artist person per day</t>
  </si>
  <si>
    <t xml:space="preserve">DJ fee per night</t>
  </si>
  <si>
    <t xml:space="preserve">Not public</t>
  </si>
  <si>
    <t xml:space="preserve">Travel per DJ</t>
  </si>
  <si>
    <t xml:space="preserve">Workshop room, rent per day</t>
  </si>
  <si>
    <t xml:space="preserve">Public venue prices found only for small halls (Graz EUR 400-937 per day, about 240 people)</t>
  </si>
  <si>
    <t xml:space="preserve">Rent a dance floor for the party hall?</t>
  </si>
  <si>
    <t xml:space="preserve">'no' if the venue has a suitable floor</t>
  </si>
  <si>
    <t xml:space="preserve">Dance floor, price per m2 for the event</t>
  </si>
  <si>
    <t xml:space="preserve">Parquet floor 36 m2 for EUR 540 per day (AA3, K6); assumed charged once for a weekend hire</t>
  </si>
  <si>
    <t xml:space="preserve">Sound, workshop room, per day</t>
  </si>
  <si>
    <t xml:space="preserve">Package up to 100 people (AA3, K7)</t>
  </si>
  <si>
    <t xml:space="preserve">Security staff, per hour</t>
  </si>
  <si>
    <t xml:space="preserve">German security collective agreement (AA3, K9)</t>
  </si>
  <si>
    <t xml:space="preserve">Hours of security and first aid per night</t>
  </si>
  <si>
    <t xml:space="preserve">hours</t>
  </si>
  <si>
    <t xml:space="preserve">First aid staff, per hour</t>
  </si>
  <si>
    <t xml:space="preserve">No public tariff found</t>
  </si>
  <si>
    <t xml:space="preserve">Photographer or videographer, per day</t>
  </si>
  <si>
    <t xml:space="preserve">Full day in ES and DE (AA3, K13)</t>
  </si>
  <si>
    <t xml:space="preserve">Wristband or printed pass, per dancer</t>
  </si>
  <si>
    <t xml:space="preserve">Printed vinyl wristbands, EUR 100 per 1,000 (AA3, K12)</t>
  </si>
  <si>
    <t xml:space="preserve">Meals per volunteer per day</t>
  </si>
  <si>
    <t xml:space="preserve">Volunteers get a free pass and meals</t>
  </si>
  <si>
    <t xml:space="preserve">Card payment fee</t>
  </si>
  <si>
    <t xml:space="preserve">Stripe, EEA cards (AA3, K3)</t>
  </si>
  <si>
    <t xml:space="preserve">Card payment fee, fixed per ticket</t>
  </si>
  <si>
    <t xml:space="preserve">Marketing (ads, design, promotion)</t>
  </si>
  <si>
    <t xml:space="preserve">% of revenue</t>
  </si>
  <si>
    <t xml:space="preserve">Contingency on production costs</t>
  </si>
  <si>
    <t xml:space="preserve">Scenario inputs</t>
  </si>
  <si>
    <t xml:space="preserve">dancers</t>
  </si>
  <si>
    <t xml:space="preserve">Three sizes; the 10 largest European congresses average about 2,400 (round Z)</t>
  </si>
  <si>
    <t xml:space="preserve">Share of dancers on a full pass</t>
  </si>
  <si>
    <t xml:space="preserve">The rest buy party-only passes</t>
  </si>
  <si>
    <t xml:space="preserve">Teaching artists (couples or solo)</t>
  </si>
  <si>
    <t xml:space="preserve">artists</t>
  </si>
  <si>
    <t xml:space="preserve">Line-ups have a median of 9 teaching artists (61 events, AA1, AB)</t>
  </si>
  <si>
    <t xml:space="preserve">DJs</t>
  </si>
  <si>
    <t xml:space="preserve">Workshop rooms</t>
  </si>
  <si>
    <t xml:space="preserve">rooms</t>
  </si>
  <si>
    <t xml:space="preserve">Party hall, rent per day</t>
  </si>
  <si>
    <t xml:space="preserve">Large halls rarely publish prices; congress hotels often waive rent against the room block</t>
  </si>
  <si>
    <t xml:space="preserve">Dance floor to rent</t>
  </si>
  <si>
    <t xml:space="preserve">m2</t>
  </si>
  <si>
    <t xml:space="preserve">About 0.2-0.35 m2 per dancer: not everyone dances at once</t>
  </si>
  <si>
    <t xml:space="preserve">Sound and light, party hall(s), per day</t>
  </si>
  <si>
    <t xml:space="preserve">Packages up to 400 and up to 1,000 people; large = two halls (AA3, K7)</t>
  </si>
  <si>
    <t xml:space="preserve">Music rights size factor</t>
  </si>
  <si>
    <t xml:space="preserve">x</t>
  </si>
  <si>
    <t xml:space="preserve">GEMA example is for about 500 m2 and 500-1,500 people</t>
  </si>
  <si>
    <t xml:space="preserve">Security staff per night</t>
  </si>
  <si>
    <t xml:space="preserve">First aid staff per night</t>
  </si>
  <si>
    <t xml:space="preserve">Volunteers</t>
  </si>
  <si>
    <t xml:space="preserve">Photographers and videographers</t>
  </si>
  <si>
    <t xml:space="preserve">Event liability insurance</t>
  </si>
  <si>
    <t xml:space="preserve">EUR per event</t>
  </si>
  <si>
    <t xml:space="preserve">UK table: about EUR 82-994 by attendance (AA3, K8)</t>
  </si>
  <si>
    <t xml:space="preserve">Decoration and stage</t>
  </si>
  <si>
    <t xml:space="preserve">Website, software, admin</t>
  </si>
  <si>
    <t xml:space="preserve">Accounting and legal</t>
  </si>
  <si>
    <t xml:space="preserve">Sponsors and stands (income)</t>
  </si>
  <si>
    <t xml:space="preserve">Share of bar sales (income)</t>
  </si>
  <si>
    <t xml:space="preserve">Depends on the venue deal</t>
  </si>
  <si>
    <t xml:space="preserve">Taken from the sheet Country for the chosen country (formulas)</t>
  </si>
  <si>
    <t xml:space="preserve">VAT rate used</t>
  </si>
  <si>
    <t xml:space="preserve">formula</t>
  </si>
  <si>
    <t xml:space="preserve">Ticket platform fee %</t>
  </si>
  <si>
    <t xml:space="preserve">Ticket platform fee, fixed per ticket</t>
  </si>
  <si>
    <t xml:space="preserve">Music rights per night</t>
  </si>
  <si>
    <t xml:space="preserve">Local price factor (country / Germany)</t>
  </si>
  <si>
    <t xml:space="preserve">Market median full pass in this country (reference)</t>
  </si>
  <si>
    <t xml:space="preserve">Line or input (medium scenario)</t>
  </si>
  <si>
    <t xml:space="preserve">Value</t>
  </si>
  <si>
    <t xml:space="preserve">Result if 20% lower</t>
  </si>
  <si>
    <t xml:space="preserve">Result if 20% higher</t>
  </si>
  <si>
    <t xml:space="preserve">Swing</t>
  </si>
  <si>
    <t xml:space="preserve">Full pass price</t>
  </si>
  <si>
    <t xml:space="preserve">Paying dancers (same set-up)</t>
  </si>
  <si>
    <t xml:space="preserve">Cost lines: 20% lower cost = higher result. Lines are ordered by size with the default inputs; the swing updates with your inputs.</t>
  </si>
  <si>
    <t xml:space="preserve">Line</t>
  </si>
  <si>
    <t xml:space="preserve">Revenue</t>
  </si>
  <si>
    <t xml:space="preserve">Ticket sales, gross (incl. VAT)</t>
  </si>
  <si>
    <t xml:space="preserve">dancers x (full share x full pass + rest x party pass) x (1 - discount)</t>
  </si>
  <si>
    <t xml:space="preserve">Ticket sales, net of VAT</t>
  </si>
  <si>
    <t xml:space="preserve">gross / (1 + VAT)</t>
  </si>
  <si>
    <t xml:space="preserve">Hotel commission</t>
  </si>
  <si>
    <t xml:space="preserve">dancers x hotel share x price per night x nights x commission</t>
  </si>
  <si>
    <t xml:space="preserve">Sponsors and stands</t>
  </si>
  <si>
    <t xml:space="preserve">Share of bar sales</t>
  </si>
  <si>
    <t xml:space="preserve">sum</t>
  </si>
  <si>
    <t xml:space="preserve">Artists and programme</t>
  </si>
  <si>
    <t xml:space="preserve">Artist fees</t>
  </si>
  <si>
    <t xml:space="preserve">teaching artists x fee</t>
  </si>
  <si>
    <t xml:space="preserve">Artist flights</t>
  </si>
  <si>
    <t xml:space="preserve">artists x people x share flying x fare x 2 x (1 + extras)</t>
  </si>
  <si>
    <t xml:space="preserve">Artist hotel</t>
  </si>
  <si>
    <t xml:space="preserve">artists x room per night x days x price factor</t>
  </si>
  <si>
    <t xml:space="preserve">Artist meals</t>
  </si>
  <si>
    <t xml:space="preserve">artists x people x meals per day x days x price factor</t>
  </si>
  <si>
    <t xml:space="preserve">DJs x (fee x nights + travel)</t>
  </si>
  <si>
    <t xml:space="preserve">Venue and production</t>
  </si>
  <si>
    <t xml:space="preserve">Party hall</t>
  </si>
  <si>
    <t xml:space="preserve">rent per day x days x price factor</t>
  </si>
  <si>
    <t xml:space="preserve">rooms x rent per day x days x price factor</t>
  </si>
  <si>
    <t xml:space="preserve">Dance floor</t>
  </si>
  <si>
    <t xml:space="preserve">if needed: m2 x price per m2 x price factor</t>
  </si>
  <si>
    <t xml:space="preserve">Sound and light</t>
  </si>
  <si>
    <t xml:space="preserve">(party hall + rooms x room package) x days x price factor</t>
  </si>
  <si>
    <t xml:space="preserve">Music rights</t>
  </si>
  <si>
    <t xml:space="preserve">fee per night x size factor x nights</t>
  </si>
  <si>
    <t xml:space="preserve">input x price factor</t>
  </si>
  <si>
    <t xml:space="preserve">Staff and services</t>
  </si>
  <si>
    <t xml:space="preserve">Security</t>
  </si>
  <si>
    <t xml:space="preserve">staff x hours x rate x nights x price factor</t>
  </si>
  <si>
    <t xml:space="preserve">First aid</t>
  </si>
  <si>
    <t xml:space="preserve">Photo and video</t>
  </si>
  <si>
    <t xml:space="preserve">people x day rate x days x price factor</t>
  </si>
  <si>
    <t xml:space="preserve">Volunteers' meals</t>
  </si>
  <si>
    <t xml:space="preserve">volunteers x meals x days x price factor</t>
  </si>
  <si>
    <t xml:space="preserve">Wristbands and passes</t>
  </si>
  <si>
    <t xml:space="preserve">dancers x price per piece</t>
  </si>
  <si>
    <t xml:space="preserve">Insurance</t>
  </si>
  <si>
    <t xml:space="preserve">Fees, marketing, contingency</t>
  </si>
  <si>
    <t xml:space="preserve">Contingency</t>
  </si>
  <si>
    <t xml:space="preserve">contingency % x production costs above</t>
  </si>
  <si>
    <t xml:space="preserve">Ticket platform fees</t>
  </si>
  <si>
    <t xml:space="preserve">gross sales x fee % + dancers x fixed fee</t>
  </si>
  <si>
    <t xml:space="preserve">Card payment fees</t>
  </si>
  <si>
    <t xml:space="preserve">Marketing</t>
  </si>
  <si>
    <t xml:space="preserve">marketing % x total revenue</t>
  </si>
  <si>
    <t xml:space="preserve">sum of all cost lines</t>
  </si>
  <si>
    <t xml:space="preserve">Result (revenue - costs)</t>
  </si>
  <si>
    <t xml:space="preserve">Code</t>
  </si>
  <si>
    <t xml:space="preserve">Country</t>
  </si>
  <si>
    <t xml:space="preserve">VAT standard</t>
  </si>
  <si>
    <t xml:space="preserve">VAT reduced (may apply, verify)</t>
  </si>
  <si>
    <t xml:space="preserve">Ticket platform fee, fixed EUR</t>
  </si>
  <si>
    <t xml:space="preserve">Music rights per night EUR</t>
  </si>
  <si>
    <t xml:space="preserve">Price level (EU = 100)</t>
  </si>
  <si>
    <t xml:space="preserve">Market median full pass EUR</t>
  </si>
  <si>
    <t xml:space="preserve">Events with a price</t>
  </si>
  <si>
    <t xml:space="preserve">Austria</t>
  </si>
  <si>
    <t xml:space="preserve">DE</t>
  </si>
  <si>
    <t xml:space="preserve">Germany</t>
  </si>
  <si>
    <t xml:space="preserve">ES</t>
  </si>
  <si>
    <t xml:space="preserve">Spain</t>
  </si>
  <si>
    <t xml:space="preserve">IT</t>
  </si>
  <si>
    <t xml:space="preserve">Italy</t>
  </si>
  <si>
    <t xml:space="preserve">FR</t>
  </si>
  <si>
    <t xml:space="preserve">France</t>
  </si>
  <si>
    <t xml:space="preserve">NL</t>
  </si>
  <si>
    <t xml:space="preserve">Netherlands</t>
  </si>
  <si>
    <t xml:space="preserve">PL</t>
  </si>
  <si>
    <t xml:space="preserve">Poland</t>
  </si>
  <si>
    <t xml:space="preserve">CZ</t>
  </si>
  <si>
    <t xml:space="preserve">Czechia</t>
  </si>
  <si>
    <t xml:space="preserve">GB</t>
  </si>
  <si>
    <t xml:space="preserve">United Kingdom</t>
  </si>
  <si>
    <t xml:space="preserve">VAT standard: PwC Worldwide Tax Summaries (AA3, K1). Reduced: rates that may apply to cultural events or performances; dance parties are often at the standard rate: verify.</t>
  </si>
  <si>
    <t xml:space="preserve">Ticket platform: Eventbrite Professional package, per country (AA3, K2). goandance does not publish its commission.</t>
  </si>
  <si>
    <t xml:space="preserve">Music rights: Germany GEMA tariff, about 500 m2, 500-1,500 people; Austria AKM minimum fee for 401-500 people (AA3, K4). Empty = not found: the model uses the German value.</t>
  </si>
  <si>
    <t xml:space="preserve">Price level: Eurostat tec00120, 2024. Market median: only countries with 5+ events with a price (AA1, AB).</t>
  </si>
  <si>
    <t xml:space="preserve">Group</t>
  </si>
  <si>
    <t xml:space="preserve">Events</t>
  </si>
  <si>
    <t xml:space="preserve">Median full pass EUR</t>
  </si>
  <si>
    <t xml:space="preserve">All, random sample</t>
  </si>
  <si>
    <t xml:space="preserve">Latin congresses and festivals of the next 12 months drawn at random (seed 20261021)</t>
  </si>
  <si>
    <t xml:space="preserve">1-2 days</t>
  </si>
  <si>
    <t xml:space="preserve">all events with a price</t>
  </si>
  <si>
    <t xml:space="preserve">3 days</t>
  </si>
  <si>
    <t xml:space="preserve">4+ days</t>
  </si>
  <si>
    <t xml:space="preserve">Country ES</t>
  </si>
  <si>
    <t xml:space="preserve">Country DE</t>
  </si>
  <si>
    <t xml:space="preserve">Country IT</t>
  </si>
  <si>
    <t xml:space="preserve">Country PL</t>
  </si>
  <si>
    <t xml:space="preserve">Country FR</t>
  </si>
  <si>
    <t xml:space="preserve">events that publish one</t>
  </si>
  <si>
    <t xml:space="preserve">Source: research/prices/latin_events_detail.csv (rounds AA1 and AB, October 2026); prices as listed on the access day, tier mostly unknown.</t>
  </si>
  <si>
    <t xml:space="preserve">Item</t>
  </si>
  <si>
    <t xml:space="preserve">Value EUR</t>
  </si>
  <si>
    <t xml:space="preserve">Low</t>
  </si>
  <si>
    <t xml:space="preserve">High</t>
  </si>
  <si>
    <t xml:space="preserve">VAT incl.</t>
  </si>
  <si>
    <t xml:space="preserve">Year</t>
  </si>
  <si>
    <t xml:space="preserve">Source</t>
  </si>
  <si>
    <t xml:space="preserve">Link</t>
  </si>
  <si>
    <t xml:space="preserve">Notes</t>
  </si>
  <si>
    <t xml:space="preserve">K1_vat_tickets</t>
  </si>
  <si>
    <t xml:space="preserve">percent</t>
  </si>
  <si>
    <t xml:space="preserve">n/a</t>
  </si>
  <si>
    <t xml:space="preserve">2026</t>
  </si>
  <si>
    <t xml:space="preserve">PwC Worldwide Tax Summaries</t>
  </si>
  <si>
    <t xml:space="preserve">https://taxsummaries.pwc.com/quick-charts/value-added-tax-vat-rates</t>
  </si>
  <si>
    <t xml:space="preserve">standard VAT rate; no reduced rate specifically for dance tickets on the public page</t>
  </si>
  <si>
    <t xml:space="preserve">K2_ticketing_fee</t>
  </si>
  <si>
    <t xml:space="preserve">percent of ticket price</t>
  </si>
  <si>
    <t xml:space="preserve">Eventbrite pricing</t>
  </si>
  <si>
    <t xml:space="preserve">https://www.eventbrite.com/organizer/pricing/</t>
  </si>
  <si>
    <t xml:space="preserve">Professional package; service fee; fixed part in a separate row</t>
  </si>
  <si>
    <t xml:space="preserve">EUR per sold ticket</t>
  </si>
  <si>
    <t xml:space="preserve">fixed part per sold ticket</t>
  </si>
  <si>
    <t xml:space="preserve">fixed part per sold ticket; converted at ECB 2026-10-22</t>
  </si>
  <si>
    <t xml:space="preserve">K3_payment_fee</t>
  </si>
  <si>
    <t xml:space="preserve">percent of transaction</t>
  </si>
  <si>
    <t xml:space="preserve">Stripe</t>
  </si>
  <si>
    <t xml:space="preserve">https://stripe.com/pricing</t>
  </si>
  <si>
    <t xml:space="preserve">EEA consumer/commercial cards; fixed part in a separate row</t>
  </si>
  <si>
    <t xml:space="preserve">EUR per transaction</t>
  </si>
  <si>
    <t xml:space="preserve">fixed part per transaction</t>
  </si>
  <si>
    <t xml:space="preserve">PayPal</t>
  </si>
  <si>
    <t xml:space="preserve">https://www.paypal.com/business/pricing</t>
  </si>
  <si>
    <t xml:space="preserve">Mollie</t>
  </si>
  <si>
    <t xml:space="preserve">https://www.mollie.com/pricing</t>
  </si>
  <si>
    <t xml:space="preserve">SumUp</t>
  </si>
  <si>
    <t xml:space="preserve">https://www.sumup.com/en-gb/pricing/</t>
  </si>
  <si>
    <t xml:space="preserve">card rate</t>
  </si>
  <si>
    <t xml:space="preserve">K4_music_rights</t>
  </si>
  <si>
    <t xml:space="preserve">EUR per event (one night)</t>
  </si>
  <si>
    <t xml:space="preserve">unknown</t>
  </si>
  <si>
    <t xml:space="preserve">GEMA tariff M-V</t>
  </si>
  <si>
    <t xml:space="preserve">https://www.gema.de/en/licences/tariffs/</t>
  </si>
  <si>
    <t xml:space="preserve">venue about 500 m2, 500-1,500 people; 3 nights = 3 x fee; net plus 7% VAT</t>
  </si>
  <si>
    <t xml:space="preserve">EUR per event, minimum fee</t>
  </si>
  <si>
    <t xml:space="preserve">AKM autonomous tariff</t>
  </si>
  <si>
    <t xml:space="preserve">https://www.akm.at/</t>
  </si>
  <si>
    <t xml:space="preserve">dance event 401-500 people; net minimum fee, factor on average ticket price</t>
  </si>
  <si>
    <t xml:space="preserve">K5_venue_hall</t>
  </si>
  <si>
    <t xml:space="preserve">EUR per day</t>
  </si>
  <si>
    <t xml:space="preserve">Tennenmälzerei Graz</t>
  </si>
  <si>
    <t xml:space="preserve">https://www.tennenmaelzerei.at/</t>
  </si>
  <si>
    <t xml:space="preserve">500 m2, about 240 people; plus 100 EUR cleaning</t>
  </si>
  <si>
    <t xml:space="preserve">EUR per day (4-hour event)</t>
  </si>
  <si>
    <t xml:space="preserve">AK Graz hall</t>
  </si>
  <si>
    <t xml:space="preserve">https://www.ak-graz.at/</t>
  </si>
  <si>
    <t xml:space="preserve">364 m2; mandatory costs bring the 4-hour total to 1,761 EUR</t>
  </si>
  <si>
    <t xml:space="preserve">K6_dance_floor</t>
  </si>
  <si>
    <t xml:space="preserve">WEKALAND / Eventpakete</t>
  </si>
  <si>
    <t xml:space="preserve">https://www.wekal.de/</t>
  </si>
  <si>
    <t xml:space="preserve">LED floor 9 m2</t>
  </si>
  <si>
    <t xml:space="preserve">LED floor 12 m2</t>
  </si>
  <si>
    <t xml:space="preserve">LED floor 16 m2</t>
  </si>
  <si>
    <t xml:space="preserve">LED floor 20 m2</t>
  </si>
  <si>
    <t xml:space="preserve">wooden parquet 9 m2</t>
  </si>
  <si>
    <t xml:space="preserve">wooden parquet 36 m2</t>
  </si>
  <si>
    <t xml:space="preserve">K7_sound_light</t>
  </si>
  <si>
    <t xml:space="preserve">Sound for you</t>
  </si>
  <si>
    <t xml:space="preserve">https://www.sound-for-you.de/</t>
  </si>
  <si>
    <t xml:space="preserve">package XS up to 50 people</t>
  </si>
  <si>
    <t xml:space="preserve">package S up to 100 people</t>
  </si>
  <si>
    <t xml:space="preserve">package M up to 400 people</t>
  </si>
  <si>
    <t xml:space="preserve">package L up to 400 people</t>
  </si>
  <si>
    <t xml:space="preserve">package XXL up to 1,000 people</t>
  </si>
  <si>
    <t xml:space="preserve">K8_insurance</t>
  </si>
  <si>
    <t xml:space="preserve">events-insurance.co.uk</t>
  </si>
  <si>
    <t xml:space="preserve">https://www.events-insurance.co.uk/</t>
  </si>
  <si>
    <t xml:space="preserve">public liability up to GBP 10m; GBP 69 (up to 100 visitors) to GBP 833; converted at ECB 0.83825 GBP/EUR</t>
  </si>
  <si>
    <t xml:space="preserve">K9_first_aid_security</t>
  </si>
  <si>
    <t xml:space="preserve">EUR per hour</t>
  </si>
  <si>
    <t xml:space="preserve">security collective agreement</t>
  </si>
  <si>
    <t xml:space="preserve">https://www.wko.at/</t>
  </si>
  <si>
    <t xml:space="preserve">security staff hourly wage</t>
  </si>
  <si>
    <t xml:space="preserve">K10_flights</t>
  </si>
  <si>
    <t xml:space="preserve">IE</t>
  </si>
  <si>
    <t xml:space="preserve">EUR per one-way ticket</t>
  </si>
  <si>
    <t xml:space="preserve">Ryanair annual report FY26</t>
  </si>
  <si>
    <t xml:space="preserve">https://investor.ryanair.com/</t>
  </si>
  <si>
    <t xml:space="preserve">average booked passenger fare; European short-haul; not country-specific</t>
  </si>
  <si>
    <t xml:space="preserve">K11_artist_fees</t>
  </si>
  <si>
    <t xml:space="preserve">private bachata teachers</t>
  </si>
  <si>
    <t xml:space="preserve">https://www.superprof.fr/</t>
  </si>
  <si>
    <t xml:space="preserve">private lesson range</t>
  </si>
  <si>
    <t xml:space="preserve">EUR per hour (individual)</t>
  </si>
  <si>
    <t xml:space="preserve">salsa/bachata teachers</t>
  </si>
  <si>
    <t xml:space="preserve">https://www.superprof.es/</t>
  </si>
  <si>
    <t xml:space="preserve">individual lesson range</t>
  </si>
  <si>
    <t xml:space="preserve">EUR per person per hour (group)</t>
  </si>
  <si>
    <t xml:space="preserve">group lesson range</t>
  </si>
  <si>
    <t xml:space="preserve">dance schools</t>
  </si>
  <si>
    <t xml:space="preserve">https://www.dansschool.nl/</t>
  </si>
  <si>
    <t xml:space="preserve">private teachers</t>
  </si>
  <si>
    <t xml:space="preserve">https://www.superprof.co.uk/</t>
  </si>
  <si>
    <t xml:space="preserve">GBP 31/h average, converted at ECB 0.83825</t>
  </si>
  <si>
    <t xml:space="preserve">K12_printing_wristbands</t>
  </si>
  <si>
    <t xml:space="preserve">SK</t>
  </si>
  <si>
    <t xml:space="preserve">EUR per 1,000 pieces</t>
  </si>
  <si>
    <t xml:space="preserve">Wristbands Europe</t>
  </si>
  <si>
    <t xml:space="preserve">https://www.wristbands-europe.com/</t>
  </si>
  <si>
    <t xml:space="preserve">Tyvek 3/4 inch printed, 1,000-10,000 pcs</t>
  </si>
  <si>
    <t xml:space="preserve">Tyvek plain</t>
  </si>
  <si>
    <t xml:space="preserve">vinyl printed</t>
  </si>
  <si>
    <t xml:space="preserve">K13_photo_video</t>
  </si>
  <si>
    <t xml:space="preserve">event photographer</t>
  </si>
  <si>
    <t xml:space="preserve">https://noomadik.com/</t>
  </si>
  <si>
    <t xml:space="preserve">full day up to 8h, plus VAT</t>
  </si>
  <si>
    <t xml:space="preserve">half day</t>
  </si>
  <si>
    <t xml:space="preserve">https://lesfilmsdegustave.com/</t>
  </si>
  <si>
    <t xml:space="preserve">evening 4h</t>
  </si>
  <si>
    <t xml:space="preserve">full day 8h</t>
  </si>
  <si>
    <t xml:space="preserve">https://offenblende.berlin/</t>
  </si>
  <si>
    <t xml:space="preserve">4h</t>
  </si>
  <si>
    <t xml:space="preserve">K14_hotel_room_block</t>
  </si>
  <si>
    <t xml:space="preserve">percent commission on net room revenue</t>
  </si>
  <si>
    <t xml:space="preserve">Kempinski MICE terms</t>
  </si>
  <si>
    <t xml:space="preserve">https://www.kempinski.com/</t>
  </si>
  <si>
    <t xml:space="preserve">1 free room per 20 paid; 1 upgrade per 20</t>
  </si>
  <si>
    <t xml:space="preserve">K11 artist fees are private lesson rates, not congress fees: not used in the model. US hotel terms row removed.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</si>
</sst>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&quot; €&quot;"/>
    <numFmt numFmtId="167" formatCode="0.0%"/>
    <numFmt numFmtId="168" formatCode="#,##0.00&quot; €&quot;"/>
    <numFmt numFmtId="169" formatCode="#,##0.##"/>
    <numFmt numFmtId="170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E2F0D9"/>
      </patternFill>
    </fill>
    <fill>
      <patternFill patternType="solid">
        <fgColor rgb="FFE2F0D9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F0D9"/>
      </patternFill>
    </fill>
    <fill>
      <patternFill patternType="solid">
        <fgColor rgb="FF0F1A3D"/>
        <bgColor rgb="FF333333"/>
      </patternFill>
    </fill>
    <fill>
      <patternFill patternType="solid">
        <fgColor rgb="FFD6123F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6123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A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9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8.35" hidden="false" customHeight="false" outlineLevel="0" collapsed="false">
      <c r="A5" s="2" t="s">
        <v>3</v>
      </c>
    </row>
    <row r="6" customFormat="false" ht="28.3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7" t="s">
        <v>10</v>
      </c>
    </row>
    <row r="14" customFormat="false" ht="15" hidden="false" customHeight="false" outlineLevel="0" collapsed="false">
      <c r="A14" s="8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41.7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41.7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16</v>
      </c>
    </row>
    <row r="23" customFormat="false" ht="41.7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/>
    </row>
    <row r="25" customFormat="false" ht="28.35" hidden="false" customHeight="false" outlineLevel="0" collapsed="false">
      <c r="A25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2"/>
    <col collapsed="false" customWidth="true" hidden="false" outlineLevel="0" max="5" min="3" style="0" width="14"/>
  </cols>
  <sheetData>
    <row r="1" customFormat="false" ht="15" hidden="false" customHeight="false" outlineLevel="0" collapsed="false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</row>
    <row r="2" customFormat="false" ht="15" hidden="false" customHeight="false" outlineLevel="0" collapsed="false">
      <c r="A2" s="10" t="s">
        <v>24</v>
      </c>
      <c r="B2" s="11" t="s">
        <v>25</v>
      </c>
      <c r="C2" s="12" t="n">
        <f aca="false">Inputs!$C$39</f>
        <v>300</v>
      </c>
      <c r="D2" s="12" t="n">
        <f aca="false">Inputs!$D$39</f>
        <v>800</v>
      </c>
      <c r="E2" s="12" t="n">
        <f aca="false">Inputs!$E$39</f>
        <v>2000</v>
      </c>
    </row>
    <row r="3" customFormat="false" ht="15" hidden="false" customHeight="false" outlineLevel="0" collapsed="false">
      <c r="A3" s="10" t="s">
        <v>26</v>
      </c>
      <c r="B3" s="11" t="s">
        <v>27</v>
      </c>
      <c r="C3" s="13" t="n">
        <f aca="false">Model!C8</f>
        <v>24162.75</v>
      </c>
      <c r="D3" s="13" t="n">
        <f aca="false">Model!D8</f>
        <v>66434</v>
      </c>
      <c r="E3" s="13" t="n">
        <f aca="false">Model!E8</f>
        <v>169085</v>
      </c>
    </row>
    <row r="4" customFormat="false" ht="15" hidden="false" customHeight="false" outlineLevel="0" collapsed="false">
      <c r="A4" s="10" t="s">
        <v>28</v>
      </c>
      <c r="B4" s="11" t="s">
        <v>27</v>
      </c>
      <c r="C4" s="13" t="n">
        <f aca="false">Model!C36</f>
        <v>35325.2166103235</v>
      </c>
      <c r="D4" s="13" t="n">
        <f aca="false">Model!D36</f>
        <v>70774.3966544706</v>
      </c>
      <c r="E4" s="13" t="n">
        <f aca="false">Model!E36</f>
        <v>140644.725938235</v>
      </c>
    </row>
    <row r="5" customFormat="false" ht="15" hidden="false" customHeight="false" outlineLevel="0" collapsed="false">
      <c r="A5" s="14" t="s">
        <v>29</v>
      </c>
      <c r="B5" s="11" t="s">
        <v>30</v>
      </c>
      <c r="C5" s="15" t="n">
        <f aca="false">Model!C38</f>
        <v>-11162.4666103235</v>
      </c>
      <c r="D5" s="15" t="n">
        <f aca="false">Model!D38</f>
        <v>-4340.39665447059</v>
      </c>
      <c r="E5" s="15" t="n">
        <f aca="false">Model!E38</f>
        <v>28440.2740617647</v>
      </c>
    </row>
    <row r="6" customFormat="false" ht="15" hidden="false" customHeight="false" outlineLevel="0" collapsed="false">
      <c r="A6" s="10" t="s">
        <v>31</v>
      </c>
      <c r="B6" s="11" t="s">
        <v>32</v>
      </c>
      <c r="C6" s="16" t="n">
        <f aca="false">IF(Model!C8=0,0,Model!C38/Model!C8)</f>
        <v>-0.461970041089012</v>
      </c>
      <c r="D6" s="16" t="n">
        <f aca="false">IF(Model!D8=0,0,Model!D38/Model!D8)</f>
        <v>-0.0653339653561518</v>
      </c>
      <c r="E6" s="16" t="n">
        <f aca="false">IF(Model!E8=0,0,Model!E38/Model!E8)</f>
        <v>0.168201047176064</v>
      </c>
    </row>
    <row r="7" customFormat="false" ht="15" hidden="false" customHeight="false" outlineLevel="0" collapsed="false">
      <c r="A7" s="10" t="s">
        <v>33</v>
      </c>
      <c r="B7" s="11" t="s">
        <v>34</v>
      </c>
      <c r="C7" s="13" t="n">
        <f aca="false">Model!C36/Inputs!$C$39</f>
        <v>117.750722034412</v>
      </c>
      <c r="D7" s="13" t="n">
        <f aca="false">Model!D36/Inputs!$D$39</f>
        <v>88.4679958180882</v>
      </c>
      <c r="E7" s="13" t="n">
        <f aca="false">Model!E36/Inputs!$E$39</f>
        <v>70.3223629691177</v>
      </c>
    </row>
    <row r="8" customFormat="false" ht="15" hidden="false" customHeight="false" outlineLevel="0" collapsed="false">
      <c r="A8" s="10" t="s">
        <v>35</v>
      </c>
      <c r="B8" s="11" t="s">
        <v>36</v>
      </c>
      <c r="C8" s="13" t="n">
        <f aca="false">(Model!C4+Model!C5)/Inputs!$C$39</f>
        <v>80.5425</v>
      </c>
      <c r="D8" s="13" t="n">
        <f aca="false">(Model!D4+Model!D5)/Inputs!$D$39</f>
        <v>80.5425</v>
      </c>
      <c r="E8" s="13" t="n">
        <f aca="false">(Model!E4+Model!E5)/Inputs!$E$39</f>
        <v>80.5425</v>
      </c>
    </row>
    <row r="9" customFormat="false" ht="15" hidden="false" customHeight="false" outlineLevel="0" collapsed="false">
      <c r="A9" s="10" t="s">
        <v>37</v>
      </c>
      <c r="B9" s="11" t="s">
        <v>38</v>
      </c>
      <c r="C9" s="13" t="n">
        <f aca="false">(Model!C33+Model!C34)/Inputs!$C$39+Inputs!$C$31*(1+Inputs!$C$36)+Inputs!$C$35*(Model!C4+Model!C5)/Inputs!$C$39</f>
        <v>11.598375</v>
      </c>
      <c r="D9" s="13" t="n">
        <f aca="false">(Model!D33+Model!D34)/Inputs!$D$39+Inputs!$C$31*(1+Inputs!$C$36)+Inputs!$C$35*(Model!D4+Model!D5)/Inputs!$D$39</f>
        <v>11.598375</v>
      </c>
      <c r="E9" s="13" t="n">
        <f aca="false">(Model!E33+Model!E34)/Inputs!$E$39+Inputs!$C$31*(1+Inputs!$C$36)+Inputs!$C$35*(Model!E4+Model!E5)/Inputs!$E$39</f>
        <v>11.598375</v>
      </c>
    </row>
    <row r="10" customFormat="false" ht="15" hidden="false" customHeight="false" outlineLevel="0" collapsed="false">
      <c r="A10" s="10" t="s">
        <v>39</v>
      </c>
      <c r="B10" s="11" t="s">
        <v>40</v>
      </c>
      <c r="C10" s="13" t="n">
        <f aca="false">Model!C36-Inputs!$C$39*C9-Model!C6-Model!C7</f>
        <v>31845.7041103235</v>
      </c>
      <c r="D10" s="13" t="n">
        <f aca="false">Model!D36-Inputs!$D$39*D9-Model!D6-Model!D7</f>
        <v>59495.6966544706</v>
      </c>
      <c r="E10" s="13" t="n">
        <f aca="false">Model!E36-Inputs!$E$39*E9-Model!E6-Model!E7</f>
        <v>109447.975938235</v>
      </c>
    </row>
    <row r="11" customFormat="false" ht="15" hidden="false" customHeight="false" outlineLevel="0" collapsed="false">
      <c r="A11" s="14" t="s">
        <v>41</v>
      </c>
      <c r="B11" s="11" t="s">
        <v>42</v>
      </c>
      <c r="C11" s="17" t="n">
        <f aca="false">IF(C8-C9&lt;=0,"never",C10/(C8-C9))</f>
        <v>461.905987063053</v>
      </c>
      <c r="D11" s="17" t="n">
        <f aca="false">IF(D8-D9&lt;=0,"never",D10/(D8-D9))</f>
        <v>862.955279430562</v>
      </c>
      <c r="E11" s="17" t="n">
        <f aca="false">IF(E8-E9&lt;=0,"never",E10/(E8-E9))</f>
        <v>1587.48807006014</v>
      </c>
    </row>
    <row r="12" customFormat="false" ht="15" hidden="false" customHeight="false" outlineLevel="0" collapsed="false">
      <c r="A12" s="10" t="s">
        <v>43</v>
      </c>
      <c r="B12" s="11" t="s">
        <v>44</v>
      </c>
      <c r="C12" s="18" t="n">
        <f aca="false">Inputs!$C$39*Inputs!$C$40*(1-Inputs!$C$9)*((1-Inputs!$C$35)/(1+Inputs!$C$60)-Inputs!$C$61-Inputs!$C$33)</f>
        <v>146.1375</v>
      </c>
      <c r="D12" s="18" t="n">
        <f aca="false">Inputs!$D$39*Inputs!$D$40*(1-Inputs!$C$9)*((1-Inputs!$C$35)/(1+Inputs!$C$60)-Inputs!$C$61-Inputs!$C$33)</f>
        <v>389.7</v>
      </c>
      <c r="E12" s="18" t="n">
        <f aca="false">Inputs!$E$39*Inputs!$E$40*(1-Inputs!$C$9)*((1-Inputs!$C$35)/(1+Inputs!$C$60)-Inputs!$C$61-Inputs!$C$33)</f>
        <v>974.25</v>
      </c>
    </row>
    <row r="13" customFormat="false" ht="15" hidden="false" customHeight="false" outlineLevel="0" collapsed="false">
      <c r="A13" s="14" t="s">
        <v>45</v>
      </c>
      <c r="B13" s="11" t="s">
        <v>46</v>
      </c>
      <c r="C13" s="15" t="n">
        <f aca="false">Inputs!$C$8-C5/C12</f>
        <v>186.38331441501</v>
      </c>
      <c r="D13" s="15" t="n">
        <f aca="false">Inputs!$C$8-D5/D12</f>
        <v>121.137789721505</v>
      </c>
      <c r="E13" s="15" t="n">
        <f aca="false">Inputs!$C$8-E5/E12</f>
        <v>80.8080327823816</v>
      </c>
    </row>
    <row r="15" customFormat="false" ht="15" hidden="false" customHeight="false" outlineLevel="0" collapsed="false">
      <c r="A15" s="19" t="s">
        <v>47</v>
      </c>
    </row>
    <row r="16" customFormat="false" ht="15" hidden="false" customHeight="false" outlineLevel="0" collapsed="false">
      <c r="A16" s="14" t="s">
        <v>48</v>
      </c>
    </row>
    <row r="17" customFormat="false" ht="15" hidden="false" customHeight="false" outlineLevel="0" collapsed="false">
      <c r="A17" s="0" t="str">
        <f aca="false">Model!A10</f>
        <v>Artist fees</v>
      </c>
      <c r="D17" s="20" t="n">
        <f aca="false">Model!D10</f>
        <v>9600</v>
      </c>
      <c r="E17" s="21" t="n">
        <f aca="false">IF(Model!D36=0,0,Model!D10/Model!D36)</f>
        <v>0.135642272541981</v>
      </c>
    </row>
    <row r="18" customFormat="false" ht="15" hidden="false" customHeight="false" outlineLevel="0" collapsed="false">
      <c r="A18" s="0" t="str">
        <f aca="false">Model!A11</f>
        <v>Artist flights</v>
      </c>
      <c r="D18" s="20" t="n">
        <f aca="false">Model!D11</f>
        <v>2276.05248</v>
      </c>
      <c r="E18" s="21" t="n">
        <f aca="false">IF(Model!D36=0,0,Model!D11/Model!D36)</f>
        <v>0.0321592636262513</v>
      </c>
    </row>
    <row r="19" customFormat="false" ht="15" hidden="false" customHeight="false" outlineLevel="0" collapsed="false">
      <c r="A19" s="0" t="str">
        <f aca="false">Model!A12</f>
        <v>Artist hotel</v>
      </c>
      <c r="D19" s="20" t="n">
        <f aca="false">Model!D12</f>
        <v>3326.36029411765</v>
      </c>
      <c r="E19" s="21" t="n">
        <f aca="false">IF(Model!D36=0,0,Model!D12/Model!D36)</f>
        <v>0.0469994864153679</v>
      </c>
    </row>
    <row r="20" customFormat="false" ht="15" hidden="false" customHeight="false" outlineLevel="0" collapsed="false">
      <c r="A20" s="0" t="str">
        <f aca="false">Model!A13</f>
        <v>Artist meals</v>
      </c>
      <c r="D20" s="20" t="n">
        <f aca="false">Model!D13</f>
        <v>1995.81617647059</v>
      </c>
      <c r="E20" s="21" t="n">
        <f aca="false">IF(Model!D36=0,0,Model!D13/Model!D36)</f>
        <v>0.0281996918492207</v>
      </c>
    </row>
    <row r="21" customFormat="false" ht="15" hidden="false" customHeight="false" outlineLevel="0" collapsed="false">
      <c r="A21" s="0" t="str">
        <f aca="false">Model!A14</f>
        <v>DJs</v>
      </c>
      <c r="D21" s="20" t="n">
        <f aca="false">Model!D14</f>
        <v>3600</v>
      </c>
      <c r="E21" s="21" t="n">
        <f aca="false">IF(Model!D36=0,0,Model!D14/Model!D36)</f>
        <v>0.050865852203243</v>
      </c>
    </row>
    <row r="22" customFormat="false" ht="15" hidden="false" customHeight="false" outlineLevel="0" collapsed="false">
      <c r="A22" s="0" t="str">
        <f aca="false">Model!A16</f>
        <v>Party hall</v>
      </c>
      <c r="D22" s="20" t="n">
        <f aca="false">Model!D16</f>
        <v>7699.90808823529</v>
      </c>
      <c r="E22" s="21" t="n">
        <f aca="false">IF(Model!D36=0,0,Model!D16/Model!D36)</f>
        <v>0.108795107442981</v>
      </c>
    </row>
    <row r="23" customFormat="false" ht="15" hidden="false" customHeight="false" outlineLevel="0" collapsed="false">
      <c r="A23" s="0" t="str">
        <f aca="false">Model!A17</f>
        <v>Workshop rooms</v>
      </c>
      <c r="D23" s="20" t="n">
        <f aca="false">Model!D17</f>
        <v>2771.96691176471</v>
      </c>
      <c r="E23" s="21" t="n">
        <f aca="false">IF(Model!D36=0,0,Model!D17/Model!D36)</f>
        <v>0.0391662386794732</v>
      </c>
    </row>
    <row r="24" customFormat="false" ht="15" hidden="false" customHeight="false" outlineLevel="0" collapsed="false">
      <c r="A24" s="0" t="str">
        <f aca="false">Model!A18</f>
        <v>Dance floor</v>
      </c>
      <c r="D24" s="20" t="n">
        <f aca="false">Model!D18</f>
        <v>3079.96323529412</v>
      </c>
      <c r="E24" s="21" t="n">
        <f aca="false">IF(Model!D36=0,0,Model!D18/Model!D36)</f>
        <v>0.0435180429771925</v>
      </c>
    </row>
    <row r="25" customFormat="false" ht="15" hidden="false" customHeight="false" outlineLevel="0" collapsed="false">
      <c r="A25" s="0" t="str">
        <f aca="false">Model!A19</f>
        <v>Sound and light</v>
      </c>
      <c r="D25" s="20" t="n">
        <f aca="false">Model!D19</f>
        <v>6914.51746323529</v>
      </c>
      <c r="E25" s="21" t="n">
        <f aca="false">IF(Model!D36=0,0,Model!D19/Model!D36)</f>
        <v>0.0976980064837971</v>
      </c>
    </row>
    <row r="26" customFormat="false" ht="15" hidden="false" customHeight="false" outlineLevel="0" collapsed="false">
      <c r="A26" s="0" t="str">
        <f aca="false">Model!A20</f>
        <v>Music rights</v>
      </c>
      <c r="D26" s="20" t="n">
        <f aca="false">Model!D20</f>
        <v>244.485</v>
      </c>
      <c r="E26" s="21" t="n">
        <f aca="false">IF(Model!D36=0,0,Model!D20/Model!D36)</f>
        <v>0.00345442718775274</v>
      </c>
    </row>
    <row r="27" customFormat="false" ht="15" hidden="false" customHeight="false" outlineLevel="0" collapsed="false">
      <c r="A27" s="0" t="str">
        <f aca="false">Model!A21</f>
        <v>Decoration and stage</v>
      </c>
      <c r="D27" s="20" t="n">
        <f aca="false">Model!D21</f>
        <v>821.323529411765</v>
      </c>
      <c r="E27" s="21" t="n">
        <f aca="false">IF(Model!D36=0,0,Model!D21/Model!D36)</f>
        <v>0.0116048114605847</v>
      </c>
    </row>
    <row r="28" customFormat="false" ht="15" hidden="false" customHeight="false" outlineLevel="0" collapsed="false">
      <c r="A28" s="0" t="str">
        <f aca="false">Model!A23</f>
        <v>Security</v>
      </c>
      <c r="D28" s="20" t="n">
        <f aca="false">Model!D23</f>
        <v>3029.57503676471</v>
      </c>
      <c r="E28" s="21" t="n">
        <f aca="false">IF(Model!D36=0,0,Model!D23/Model!D36)</f>
        <v>0.0428060877940856</v>
      </c>
    </row>
    <row r="29" customFormat="false" ht="15" hidden="false" customHeight="false" outlineLevel="0" collapsed="false">
      <c r="A29" s="0" t="str">
        <f aca="false">Model!A24</f>
        <v>First aid</v>
      </c>
      <c r="D29" s="20" t="n">
        <f aca="false">Model!D24</f>
        <v>1724.77941176471</v>
      </c>
      <c r="E29" s="21" t="n">
        <f aca="false">IF(Model!D36=0,0,Model!D24/Model!D36)</f>
        <v>0.0243701040672278</v>
      </c>
    </row>
    <row r="30" customFormat="false" ht="15" hidden="false" customHeight="false" outlineLevel="0" collapsed="false">
      <c r="A30" s="0" t="str">
        <f aca="false">Model!A25</f>
        <v>Photo and video</v>
      </c>
      <c r="D30" s="20" t="n">
        <f aca="false">Model!D25</f>
        <v>5543.93382352941</v>
      </c>
      <c r="E30" s="21" t="n">
        <f aca="false">IF(Model!D36=0,0,Model!D25/Model!D36)</f>
        <v>0.0783324773589464</v>
      </c>
    </row>
    <row r="31" customFormat="false" ht="15" hidden="false" customHeight="false" outlineLevel="0" collapsed="false">
      <c r="A31" s="0" t="str">
        <f aca="false">Model!A26</f>
        <v>Volunteers' meals</v>
      </c>
      <c r="D31" s="20" t="n">
        <f aca="false">Model!D26</f>
        <v>985.588235294118</v>
      </c>
      <c r="E31" s="21" t="n">
        <f aca="false">IF(Model!D36=0,0,Model!D26/Model!D36)</f>
        <v>0.0139257737527016</v>
      </c>
    </row>
    <row r="32" customFormat="false" ht="15" hidden="false" customHeight="false" outlineLevel="0" collapsed="false">
      <c r="A32" s="0" t="str">
        <f aca="false">Model!A27</f>
        <v>Wristbands and passes</v>
      </c>
      <c r="D32" s="20" t="n">
        <f aca="false">Model!D27</f>
        <v>80</v>
      </c>
      <c r="E32" s="21" t="n">
        <f aca="false">IF(Model!D36=0,0,Model!D27/Model!D36)</f>
        <v>0.00113035227118318</v>
      </c>
    </row>
    <row r="33" customFormat="false" ht="15" hidden="false" customHeight="false" outlineLevel="0" collapsed="false">
      <c r="A33" s="0" t="str">
        <f aca="false">Model!A28</f>
        <v>Insurance</v>
      </c>
      <c r="D33" s="20" t="n">
        <f aca="false">Model!D28</f>
        <v>400</v>
      </c>
      <c r="E33" s="21" t="n">
        <f aca="false">IF(Model!D36=0,0,Model!D28/Model!D36)</f>
        <v>0.00565176135591589</v>
      </c>
    </row>
    <row r="34" customFormat="false" ht="15" hidden="false" customHeight="false" outlineLevel="0" collapsed="false">
      <c r="A34" s="0" t="str">
        <f aca="false">Model!A29</f>
        <v>Website, software, admin</v>
      </c>
      <c r="D34" s="20" t="n">
        <f aca="false">Model!D29</f>
        <v>1000</v>
      </c>
      <c r="E34" s="21" t="n">
        <f aca="false">IF(Model!D36=0,0,Model!D29/Model!D36)</f>
        <v>0.0141294033897897</v>
      </c>
    </row>
    <row r="35" customFormat="false" ht="15" hidden="false" customHeight="false" outlineLevel="0" collapsed="false">
      <c r="A35" s="0" t="str">
        <f aca="false">Model!A30</f>
        <v>Accounting and legal</v>
      </c>
      <c r="D35" s="20" t="n">
        <f aca="false">Model!D30</f>
        <v>800</v>
      </c>
      <c r="E35" s="21" t="n">
        <f aca="false">IF(Model!D36=0,0,Model!D30/Model!D36)</f>
        <v>0.0113035227118318</v>
      </c>
    </row>
    <row r="36" customFormat="false" ht="15" hidden="false" customHeight="false" outlineLevel="0" collapsed="false">
      <c r="A36" s="0" t="str">
        <f aca="false">Model!A32</f>
        <v>Contingency</v>
      </c>
      <c r="D36" s="20" t="n">
        <f aca="false">Model!D32</f>
        <v>5589.42696858824</v>
      </c>
      <c r="E36" s="21" t="n">
        <f aca="false">IF(Model!D36=0,0,Model!D32/Model!D36)</f>
        <v>0.0789752683569528</v>
      </c>
    </row>
    <row r="37" customFormat="false" ht="15" hidden="false" customHeight="false" outlineLevel="0" collapsed="false">
      <c r="A37" s="0" t="str">
        <f aca="false">Model!A33</f>
        <v>Ticket platform fees</v>
      </c>
      <c r="D37" s="20" t="n">
        <f aca="false">Model!D33</f>
        <v>4702.5</v>
      </c>
      <c r="E37" s="21" t="n">
        <f aca="false">IF(Model!D36=0,0,Model!D33/Model!D36)</f>
        <v>0.0664435194404862</v>
      </c>
    </row>
    <row r="38" customFormat="false" ht="15" hidden="false" customHeight="false" outlineLevel="0" collapsed="false">
      <c r="A38" s="0" t="str">
        <f aca="false">Model!A34</f>
        <v>Card payment fees</v>
      </c>
      <c r="D38" s="20" t="n">
        <f aca="false">Model!D34</f>
        <v>1266.5</v>
      </c>
      <c r="E38" s="21" t="n">
        <f aca="false">IF(Model!D36=0,0,Model!D34/Model!D36)</f>
        <v>0.0178948893931687</v>
      </c>
    </row>
    <row r="39" customFormat="false" ht="15" hidden="false" customHeight="false" outlineLevel="0" collapsed="false">
      <c r="A39" s="0" t="str">
        <f aca="false">Model!A35</f>
        <v>Marketing</v>
      </c>
      <c r="D39" s="20" t="n">
        <f aca="false">Model!D35</f>
        <v>3321.7</v>
      </c>
      <c r="E39" s="21" t="n">
        <f aca="false">IF(Model!D36=0,0,Model!D35/Model!D36)</f>
        <v>0.0469336392398646</v>
      </c>
    </row>
    <row r="40" customFormat="false" ht="15" hidden="false" customHeight="false" outlineLevel="0" collapsed="false">
      <c r="D40" s="19" t="s">
        <v>49</v>
      </c>
      <c r="E40" s="19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7" min="7" style="0" width="90"/>
  </cols>
  <sheetData>
    <row r="1" customFormat="false" ht="15" hidden="false" customHeight="false" outlineLevel="0" collapsed="false">
      <c r="A1" s="9" t="s">
        <v>51</v>
      </c>
      <c r="B1" s="9" t="s">
        <v>52</v>
      </c>
      <c r="C1" s="9" t="s">
        <v>21</v>
      </c>
      <c r="D1" s="9" t="s">
        <v>22</v>
      </c>
      <c r="E1" s="9" t="s">
        <v>23</v>
      </c>
      <c r="F1" s="9" t="s">
        <v>53</v>
      </c>
      <c r="G1" s="9" t="s">
        <v>54</v>
      </c>
    </row>
    <row r="2" customFormat="false" ht="15" hidden="false" customHeight="false" outlineLevel="0" collapsed="false">
      <c r="A2" s="14" t="s">
        <v>55</v>
      </c>
    </row>
    <row r="3" customFormat="false" ht="15" hidden="false" customHeight="false" outlineLevel="0" collapsed="false">
      <c r="A3" s="22" t="s">
        <v>56</v>
      </c>
      <c r="B3" s="22" t="s">
        <v>57</v>
      </c>
      <c r="C3" s="23" t="s">
        <v>58</v>
      </c>
      <c r="D3" s="22"/>
      <c r="E3" s="22"/>
      <c r="F3" s="22" t="s">
        <v>59</v>
      </c>
      <c r="G3" s="22" t="s">
        <v>60</v>
      </c>
    </row>
    <row r="4" customFormat="false" ht="15" hidden="false" customHeight="false" outlineLevel="0" collapsed="false">
      <c r="A4" s="22" t="s">
        <v>61</v>
      </c>
      <c r="B4" s="22" t="s">
        <v>62</v>
      </c>
      <c r="C4" s="23" t="s">
        <v>63</v>
      </c>
      <c r="D4" s="22"/>
      <c r="E4" s="22"/>
      <c r="F4" s="22" t="s">
        <v>59</v>
      </c>
      <c r="G4" s="22" t="s">
        <v>64</v>
      </c>
    </row>
    <row r="5" customFormat="false" ht="15" hidden="false" customHeight="false" outlineLevel="0" collapsed="false">
      <c r="A5" s="22" t="s">
        <v>65</v>
      </c>
      <c r="B5" s="22" t="s">
        <v>62</v>
      </c>
      <c r="C5" s="23" t="s">
        <v>66</v>
      </c>
      <c r="D5" s="22"/>
      <c r="E5" s="22"/>
      <c r="F5" s="22" t="s">
        <v>59</v>
      </c>
      <c r="G5" s="22" t="s">
        <v>67</v>
      </c>
    </row>
    <row r="6" customFormat="false" ht="15" hidden="false" customHeight="false" outlineLevel="0" collapsed="false">
      <c r="A6" s="22" t="s">
        <v>68</v>
      </c>
      <c r="B6" s="22" t="s">
        <v>69</v>
      </c>
      <c r="C6" s="24" t="n">
        <v>3</v>
      </c>
      <c r="D6" s="22"/>
      <c r="E6" s="22"/>
      <c r="F6" s="22" t="s">
        <v>70</v>
      </c>
      <c r="G6" s="22" t="s">
        <v>71</v>
      </c>
    </row>
    <row r="7" customFormat="false" ht="15" hidden="false" customHeight="false" outlineLevel="0" collapsed="false">
      <c r="A7" s="22" t="s">
        <v>72</v>
      </c>
      <c r="B7" s="22" t="s">
        <v>73</v>
      </c>
      <c r="C7" s="24" t="n">
        <v>3</v>
      </c>
      <c r="D7" s="22"/>
      <c r="E7" s="22"/>
      <c r="F7" s="22" t="s">
        <v>70</v>
      </c>
      <c r="G7" s="22" t="s">
        <v>74</v>
      </c>
    </row>
    <row r="8" customFormat="false" ht="15" hidden="false" customHeight="false" outlineLevel="0" collapsed="false">
      <c r="A8" s="22" t="s">
        <v>75</v>
      </c>
      <c r="B8" s="22" t="s">
        <v>76</v>
      </c>
      <c r="C8" s="25" t="n">
        <v>110</v>
      </c>
      <c r="D8" s="22"/>
      <c r="E8" s="22"/>
      <c r="F8" s="22" t="s">
        <v>70</v>
      </c>
      <c r="G8" s="22" t="s">
        <v>77</v>
      </c>
    </row>
    <row r="9" customFormat="false" ht="15" hidden="false" customHeight="false" outlineLevel="0" collapsed="false">
      <c r="A9" s="22" t="s">
        <v>78</v>
      </c>
      <c r="B9" s="22" t="s">
        <v>79</v>
      </c>
      <c r="C9" s="26" t="n">
        <v>0.1</v>
      </c>
      <c r="D9" s="22"/>
      <c r="E9" s="22"/>
      <c r="F9" s="22" t="s">
        <v>59</v>
      </c>
      <c r="G9" s="22" t="s">
        <v>80</v>
      </c>
    </row>
    <row r="10" customFormat="false" ht="15" hidden="false" customHeight="false" outlineLevel="0" collapsed="false">
      <c r="A10" s="22" t="s">
        <v>81</v>
      </c>
      <c r="B10" s="22" t="s">
        <v>76</v>
      </c>
      <c r="C10" s="25" t="n">
        <v>65</v>
      </c>
      <c r="D10" s="22"/>
      <c r="E10" s="22"/>
      <c r="F10" s="22" t="s">
        <v>70</v>
      </c>
      <c r="G10" s="22" t="s">
        <v>82</v>
      </c>
    </row>
    <row r="11" customFormat="false" ht="15" hidden="false" customHeight="false" outlineLevel="0" collapsed="false">
      <c r="A11" s="22" t="s">
        <v>83</v>
      </c>
      <c r="B11" s="22" t="s">
        <v>79</v>
      </c>
      <c r="C11" s="26" t="n">
        <v>0.3</v>
      </c>
      <c r="D11" s="22"/>
      <c r="E11" s="22"/>
      <c r="F11" s="22" t="s">
        <v>59</v>
      </c>
      <c r="G11" s="22" t="s">
        <v>84</v>
      </c>
    </row>
    <row r="12" customFormat="false" ht="15" hidden="false" customHeight="false" outlineLevel="0" collapsed="false">
      <c r="A12" s="22" t="s">
        <v>85</v>
      </c>
      <c r="B12" s="22" t="s">
        <v>49</v>
      </c>
      <c r="C12" s="27" t="n">
        <v>60</v>
      </c>
      <c r="D12" s="22"/>
      <c r="E12" s="22"/>
      <c r="F12" s="22" t="s">
        <v>86</v>
      </c>
      <c r="G12" s="22" t="s">
        <v>87</v>
      </c>
    </row>
    <row r="13" customFormat="false" ht="15" hidden="false" customHeight="false" outlineLevel="0" collapsed="false">
      <c r="A13" s="22" t="s">
        <v>88</v>
      </c>
      <c r="B13" s="22" t="s">
        <v>79</v>
      </c>
      <c r="C13" s="28" t="n">
        <v>0.12</v>
      </c>
      <c r="D13" s="22"/>
      <c r="E13" s="22"/>
      <c r="F13" s="22" t="s">
        <v>89</v>
      </c>
      <c r="G13" s="22" t="s">
        <v>90</v>
      </c>
    </row>
    <row r="14" customFormat="false" ht="15" hidden="false" customHeight="false" outlineLevel="0" collapsed="false">
      <c r="A14" s="22" t="s">
        <v>91</v>
      </c>
      <c r="B14" s="22" t="s">
        <v>49</v>
      </c>
      <c r="C14" s="27" t="n">
        <v>800</v>
      </c>
      <c r="D14" s="22"/>
      <c r="E14" s="22"/>
      <c r="F14" s="22" t="s">
        <v>86</v>
      </c>
      <c r="G14" s="22" t="s">
        <v>92</v>
      </c>
    </row>
    <row r="15" customFormat="false" ht="15" hidden="false" customHeight="false" outlineLevel="0" collapsed="false">
      <c r="A15" s="22" t="s">
        <v>93</v>
      </c>
      <c r="B15" s="22" t="s">
        <v>94</v>
      </c>
      <c r="C15" s="29" t="n">
        <v>1.8</v>
      </c>
      <c r="D15" s="22"/>
      <c r="E15" s="22"/>
      <c r="F15" s="22" t="s">
        <v>59</v>
      </c>
      <c r="G15" s="22" t="s">
        <v>95</v>
      </c>
    </row>
    <row r="16" customFormat="false" ht="15" hidden="false" customHeight="false" outlineLevel="0" collapsed="false">
      <c r="A16" s="22" t="s">
        <v>96</v>
      </c>
      <c r="B16" s="22" t="s">
        <v>79</v>
      </c>
      <c r="C16" s="26" t="n">
        <v>0.8</v>
      </c>
      <c r="D16" s="22"/>
      <c r="E16" s="22"/>
      <c r="F16" s="22" t="s">
        <v>59</v>
      </c>
      <c r="G16" s="22" t="s">
        <v>97</v>
      </c>
    </row>
    <row r="17" customFormat="false" ht="15" hidden="false" customHeight="false" outlineLevel="0" collapsed="false">
      <c r="A17" s="22" t="s">
        <v>98</v>
      </c>
      <c r="B17" s="22" t="s">
        <v>49</v>
      </c>
      <c r="C17" s="30" t="n">
        <v>50.66</v>
      </c>
      <c r="D17" s="22"/>
      <c r="E17" s="22"/>
      <c r="F17" s="22" t="s">
        <v>89</v>
      </c>
      <c r="G17" s="22" t="s">
        <v>99</v>
      </c>
    </row>
    <row r="18" customFormat="false" ht="15" hidden="false" customHeight="false" outlineLevel="0" collapsed="false">
      <c r="A18" s="22" t="s">
        <v>100</v>
      </c>
      <c r="B18" s="22" t="s">
        <v>79</v>
      </c>
      <c r="C18" s="26" t="n">
        <v>0.3</v>
      </c>
      <c r="D18" s="22"/>
      <c r="E18" s="22"/>
      <c r="F18" s="22" t="s">
        <v>59</v>
      </c>
      <c r="G18" s="22"/>
    </row>
    <row r="19" customFormat="false" ht="15" hidden="false" customHeight="false" outlineLevel="0" collapsed="false">
      <c r="A19" s="22" t="s">
        <v>101</v>
      </c>
      <c r="B19" s="22" t="s">
        <v>49</v>
      </c>
      <c r="C19" s="31" t="n">
        <v>90</v>
      </c>
      <c r="D19" s="22"/>
      <c r="E19" s="22"/>
      <c r="F19" s="22" t="s">
        <v>59</v>
      </c>
      <c r="G19" s="22" t="s">
        <v>102</v>
      </c>
    </row>
    <row r="20" customFormat="false" ht="15" hidden="false" customHeight="false" outlineLevel="0" collapsed="false">
      <c r="A20" s="22" t="s">
        <v>103</v>
      </c>
      <c r="B20" s="22" t="s">
        <v>49</v>
      </c>
      <c r="C20" s="31" t="n">
        <v>30</v>
      </c>
      <c r="D20" s="22"/>
      <c r="E20" s="22"/>
      <c r="F20" s="22" t="s">
        <v>59</v>
      </c>
      <c r="G20" s="22"/>
    </row>
    <row r="21" customFormat="false" ht="15" hidden="false" customHeight="false" outlineLevel="0" collapsed="false">
      <c r="A21" s="22" t="s">
        <v>104</v>
      </c>
      <c r="B21" s="22" t="s">
        <v>49</v>
      </c>
      <c r="C21" s="27" t="n">
        <v>250</v>
      </c>
      <c r="D21" s="22"/>
      <c r="E21" s="22"/>
      <c r="F21" s="22" t="s">
        <v>86</v>
      </c>
      <c r="G21" s="22" t="s">
        <v>105</v>
      </c>
    </row>
    <row r="22" customFormat="false" ht="15" hidden="false" customHeight="false" outlineLevel="0" collapsed="false">
      <c r="A22" s="22" t="s">
        <v>106</v>
      </c>
      <c r="B22" s="22" t="s">
        <v>49</v>
      </c>
      <c r="C22" s="31" t="n">
        <v>150</v>
      </c>
      <c r="D22" s="22"/>
      <c r="E22" s="22"/>
      <c r="F22" s="22" t="s">
        <v>59</v>
      </c>
      <c r="G22" s="22"/>
    </row>
    <row r="23" customFormat="false" ht="15" hidden="false" customHeight="false" outlineLevel="0" collapsed="false">
      <c r="A23" s="22" t="s">
        <v>107</v>
      </c>
      <c r="B23" s="22" t="s">
        <v>49</v>
      </c>
      <c r="C23" s="31" t="n">
        <v>300</v>
      </c>
      <c r="D23" s="22"/>
      <c r="E23" s="22"/>
      <c r="F23" s="22" t="s">
        <v>59</v>
      </c>
      <c r="G23" s="22" t="s">
        <v>108</v>
      </c>
    </row>
    <row r="24" customFormat="false" ht="15" hidden="false" customHeight="false" outlineLevel="0" collapsed="false">
      <c r="A24" s="22" t="s">
        <v>109</v>
      </c>
      <c r="B24" s="22" t="s">
        <v>62</v>
      </c>
      <c r="C24" s="23" t="s">
        <v>66</v>
      </c>
      <c r="D24" s="22"/>
      <c r="E24" s="22"/>
      <c r="F24" s="22" t="s">
        <v>59</v>
      </c>
      <c r="G24" s="22" t="s">
        <v>110</v>
      </c>
    </row>
    <row r="25" customFormat="false" ht="15" hidden="false" customHeight="false" outlineLevel="0" collapsed="false">
      <c r="A25" s="22" t="s">
        <v>111</v>
      </c>
      <c r="B25" s="22" t="s">
        <v>49</v>
      </c>
      <c r="C25" s="30" t="n">
        <v>15</v>
      </c>
      <c r="D25" s="22"/>
      <c r="E25" s="22"/>
      <c r="F25" s="22" t="s">
        <v>89</v>
      </c>
      <c r="G25" s="22" t="s">
        <v>112</v>
      </c>
    </row>
    <row r="26" customFormat="false" ht="15" hidden="false" customHeight="false" outlineLevel="0" collapsed="false">
      <c r="A26" s="22" t="s">
        <v>113</v>
      </c>
      <c r="B26" s="22" t="s">
        <v>49</v>
      </c>
      <c r="C26" s="30" t="n">
        <v>420</v>
      </c>
      <c r="D26" s="22"/>
      <c r="E26" s="22"/>
      <c r="F26" s="22" t="s">
        <v>89</v>
      </c>
      <c r="G26" s="22" t="s">
        <v>114</v>
      </c>
    </row>
    <row r="27" customFormat="false" ht="15" hidden="false" customHeight="false" outlineLevel="0" collapsed="false">
      <c r="A27" s="22" t="s">
        <v>115</v>
      </c>
      <c r="B27" s="22" t="s">
        <v>49</v>
      </c>
      <c r="C27" s="30" t="n">
        <v>46.84</v>
      </c>
      <c r="D27" s="22"/>
      <c r="E27" s="22"/>
      <c r="F27" s="22" t="s">
        <v>89</v>
      </c>
      <c r="G27" s="22" t="s">
        <v>116</v>
      </c>
    </row>
    <row r="28" customFormat="false" ht="15" hidden="false" customHeight="false" outlineLevel="0" collapsed="false">
      <c r="A28" s="22" t="s">
        <v>117</v>
      </c>
      <c r="B28" s="22" t="s">
        <v>118</v>
      </c>
      <c r="C28" s="29" t="n">
        <v>7</v>
      </c>
      <c r="D28" s="22"/>
      <c r="E28" s="22"/>
      <c r="F28" s="22" t="s">
        <v>59</v>
      </c>
      <c r="G28" s="22"/>
    </row>
    <row r="29" customFormat="false" ht="15" hidden="false" customHeight="false" outlineLevel="0" collapsed="false">
      <c r="A29" s="22" t="s">
        <v>119</v>
      </c>
      <c r="B29" s="22" t="s">
        <v>49</v>
      </c>
      <c r="C29" s="31" t="n">
        <v>40</v>
      </c>
      <c r="D29" s="22"/>
      <c r="E29" s="22"/>
      <c r="F29" s="22" t="s">
        <v>59</v>
      </c>
      <c r="G29" s="22" t="s">
        <v>120</v>
      </c>
    </row>
    <row r="30" customFormat="false" ht="15" hidden="false" customHeight="false" outlineLevel="0" collapsed="false">
      <c r="A30" s="22" t="s">
        <v>121</v>
      </c>
      <c r="B30" s="22" t="s">
        <v>49</v>
      </c>
      <c r="C30" s="30" t="n">
        <v>900</v>
      </c>
      <c r="D30" s="22"/>
      <c r="E30" s="22"/>
      <c r="F30" s="22" t="s">
        <v>89</v>
      </c>
      <c r="G30" s="22" t="s">
        <v>122</v>
      </c>
    </row>
    <row r="31" customFormat="false" ht="15" hidden="false" customHeight="false" outlineLevel="0" collapsed="false">
      <c r="A31" s="22" t="s">
        <v>123</v>
      </c>
      <c r="B31" s="22" t="s">
        <v>49</v>
      </c>
      <c r="C31" s="32" t="n">
        <v>0.1</v>
      </c>
      <c r="D31" s="22"/>
      <c r="E31" s="22"/>
      <c r="F31" s="22" t="s">
        <v>89</v>
      </c>
      <c r="G31" s="22" t="s">
        <v>124</v>
      </c>
    </row>
    <row r="32" customFormat="false" ht="15" hidden="false" customHeight="false" outlineLevel="0" collapsed="false">
      <c r="A32" s="22" t="s">
        <v>125</v>
      </c>
      <c r="B32" s="22" t="s">
        <v>49</v>
      </c>
      <c r="C32" s="31" t="n">
        <v>20</v>
      </c>
      <c r="D32" s="22"/>
      <c r="E32" s="22"/>
      <c r="F32" s="22" t="s">
        <v>59</v>
      </c>
      <c r="G32" s="22" t="s">
        <v>126</v>
      </c>
    </row>
    <row r="33" customFormat="false" ht="15" hidden="false" customHeight="false" outlineLevel="0" collapsed="false">
      <c r="A33" s="22" t="s">
        <v>127</v>
      </c>
      <c r="B33" s="22" t="s">
        <v>79</v>
      </c>
      <c r="C33" s="28" t="n">
        <v>0.015</v>
      </c>
      <c r="D33" s="22"/>
      <c r="E33" s="22"/>
      <c r="F33" s="22" t="s">
        <v>89</v>
      </c>
      <c r="G33" s="22" t="s">
        <v>128</v>
      </c>
    </row>
    <row r="34" customFormat="false" ht="15" hidden="false" customHeight="false" outlineLevel="0" collapsed="false">
      <c r="A34" s="22" t="s">
        <v>129</v>
      </c>
      <c r="B34" s="22" t="s">
        <v>49</v>
      </c>
      <c r="C34" s="32" t="n">
        <v>0.25</v>
      </c>
      <c r="D34" s="22"/>
      <c r="E34" s="22"/>
      <c r="F34" s="22" t="s">
        <v>89</v>
      </c>
      <c r="G34" s="22" t="s">
        <v>128</v>
      </c>
    </row>
    <row r="35" customFormat="false" ht="15" hidden="false" customHeight="false" outlineLevel="0" collapsed="false">
      <c r="A35" s="22" t="s">
        <v>130</v>
      </c>
      <c r="B35" s="22" t="s">
        <v>131</v>
      </c>
      <c r="C35" s="26" t="n">
        <v>0.05</v>
      </c>
      <c r="D35" s="22"/>
      <c r="E35" s="22"/>
      <c r="F35" s="22" t="s">
        <v>59</v>
      </c>
      <c r="G35" s="22"/>
    </row>
    <row r="36" customFormat="false" ht="15" hidden="false" customHeight="false" outlineLevel="0" collapsed="false">
      <c r="A36" s="22" t="s">
        <v>132</v>
      </c>
      <c r="B36" s="22" t="s">
        <v>79</v>
      </c>
      <c r="C36" s="26" t="n">
        <v>0.1</v>
      </c>
      <c r="D36" s="22"/>
      <c r="E36" s="22"/>
      <c r="F36" s="22" t="s">
        <v>59</v>
      </c>
      <c r="G36" s="22"/>
    </row>
    <row r="38" customFormat="false" ht="15" hidden="false" customHeight="false" outlineLevel="0" collapsed="false">
      <c r="A38" s="14" t="s">
        <v>133</v>
      </c>
    </row>
    <row r="39" customFormat="false" ht="15" hidden="false" customHeight="false" outlineLevel="0" collapsed="false">
      <c r="A39" s="22" t="s">
        <v>24</v>
      </c>
      <c r="B39" s="22" t="s">
        <v>134</v>
      </c>
      <c r="C39" s="33" t="n">
        <v>300</v>
      </c>
      <c r="D39" s="33" t="n">
        <v>800</v>
      </c>
      <c r="E39" s="33" t="n">
        <v>2000</v>
      </c>
      <c r="F39" s="22" t="s">
        <v>59</v>
      </c>
      <c r="G39" s="22" t="s">
        <v>135</v>
      </c>
    </row>
    <row r="40" customFormat="false" ht="15" hidden="false" customHeight="false" outlineLevel="0" collapsed="false">
      <c r="A40" s="22" t="s">
        <v>136</v>
      </c>
      <c r="B40" s="22" t="s">
        <v>79</v>
      </c>
      <c r="C40" s="26" t="n">
        <v>0.75</v>
      </c>
      <c r="D40" s="26" t="n">
        <v>0.75</v>
      </c>
      <c r="E40" s="26" t="n">
        <v>0.75</v>
      </c>
      <c r="F40" s="22" t="s">
        <v>59</v>
      </c>
      <c r="G40" s="22" t="s">
        <v>137</v>
      </c>
    </row>
    <row r="41" customFormat="false" ht="15" hidden="false" customHeight="false" outlineLevel="0" collapsed="false">
      <c r="A41" s="22" t="s">
        <v>138</v>
      </c>
      <c r="B41" s="22" t="s">
        <v>139</v>
      </c>
      <c r="C41" s="34" t="n">
        <v>6</v>
      </c>
      <c r="D41" s="34" t="n">
        <v>12</v>
      </c>
      <c r="E41" s="34" t="n">
        <v>25</v>
      </c>
      <c r="F41" s="22" t="s">
        <v>70</v>
      </c>
      <c r="G41" s="22" t="s">
        <v>140</v>
      </c>
    </row>
    <row r="42" customFormat="false" ht="15" hidden="false" customHeight="false" outlineLevel="0" collapsed="false">
      <c r="A42" s="22" t="s">
        <v>141</v>
      </c>
      <c r="B42" s="22" t="s">
        <v>141</v>
      </c>
      <c r="C42" s="33" t="n">
        <v>2</v>
      </c>
      <c r="D42" s="33" t="n">
        <v>4</v>
      </c>
      <c r="E42" s="33" t="n">
        <v>6</v>
      </c>
      <c r="F42" s="22" t="s">
        <v>59</v>
      </c>
      <c r="G42" s="22"/>
    </row>
    <row r="43" customFormat="false" ht="15" hidden="false" customHeight="false" outlineLevel="0" collapsed="false">
      <c r="A43" s="22" t="s">
        <v>142</v>
      </c>
      <c r="B43" s="22" t="s">
        <v>143</v>
      </c>
      <c r="C43" s="33" t="n">
        <v>2</v>
      </c>
      <c r="D43" s="33" t="n">
        <v>3</v>
      </c>
      <c r="E43" s="33" t="n">
        <v>5</v>
      </c>
      <c r="F43" s="22" t="s">
        <v>59</v>
      </c>
      <c r="G43" s="22"/>
    </row>
    <row r="44" customFormat="false" ht="15" hidden="false" customHeight="false" outlineLevel="0" collapsed="false">
      <c r="A44" s="22" t="s">
        <v>144</v>
      </c>
      <c r="B44" s="22" t="s">
        <v>49</v>
      </c>
      <c r="C44" s="27" t="n">
        <v>1000</v>
      </c>
      <c r="D44" s="27" t="n">
        <v>2500</v>
      </c>
      <c r="E44" s="27" t="n">
        <v>6000</v>
      </c>
      <c r="F44" s="22" t="s">
        <v>86</v>
      </c>
      <c r="G44" s="22" t="s">
        <v>145</v>
      </c>
    </row>
    <row r="45" customFormat="false" ht="15" hidden="false" customHeight="false" outlineLevel="0" collapsed="false">
      <c r="A45" s="22" t="s">
        <v>146</v>
      </c>
      <c r="B45" s="22" t="s">
        <v>147</v>
      </c>
      <c r="C45" s="33" t="n">
        <v>100</v>
      </c>
      <c r="D45" s="33" t="n">
        <v>200</v>
      </c>
      <c r="E45" s="33" t="n">
        <v>400</v>
      </c>
      <c r="F45" s="22" t="s">
        <v>59</v>
      </c>
      <c r="G45" s="22" t="s">
        <v>148</v>
      </c>
    </row>
    <row r="46" customFormat="false" ht="15" hidden="false" customHeight="false" outlineLevel="0" collapsed="false">
      <c r="A46" s="22" t="s">
        <v>149</v>
      </c>
      <c r="B46" s="22" t="s">
        <v>49</v>
      </c>
      <c r="C46" s="30" t="n">
        <v>545</v>
      </c>
      <c r="D46" s="30" t="n">
        <v>985</v>
      </c>
      <c r="E46" s="30" t="n">
        <v>1970</v>
      </c>
      <c r="F46" s="22" t="s">
        <v>89</v>
      </c>
      <c r="G46" s="22" t="s">
        <v>150</v>
      </c>
    </row>
    <row r="47" customFormat="false" ht="15" hidden="false" customHeight="false" outlineLevel="0" collapsed="false">
      <c r="A47" s="22" t="s">
        <v>151</v>
      </c>
      <c r="B47" s="22" t="s">
        <v>152</v>
      </c>
      <c r="C47" s="33" t="n">
        <v>1</v>
      </c>
      <c r="D47" s="33" t="n">
        <v>1.5</v>
      </c>
      <c r="E47" s="33" t="n">
        <v>3</v>
      </c>
      <c r="F47" s="22" t="s">
        <v>59</v>
      </c>
      <c r="G47" s="22" t="s">
        <v>153</v>
      </c>
    </row>
    <row r="48" customFormat="false" ht="15" hidden="false" customHeight="false" outlineLevel="0" collapsed="false">
      <c r="A48" s="22" t="s">
        <v>154</v>
      </c>
      <c r="B48" s="22" t="s">
        <v>94</v>
      </c>
      <c r="C48" s="33" t="n">
        <v>2</v>
      </c>
      <c r="D48" s="33" t="n">
        <v>3</v>
      </c>
      <c r="E48" s="33" t="n">
        <v>6</v>
      </c>
      <c r="F48" s="22" t="s">
        <v>59</v>
      </c>
      <c r="G48" s="22"/>
    </row>
    <row r="49" customFormat="false" ht="15" hidden="false" customHeight="false" outlineLevel="0" collapsed="false">
      <c r="A49" s="22" t="s">
        <v>155</v>
      </c>
      <c r="B49" s="22" t="s">
        <v>94</v>
      </c>
      <c r="C49" s="33" t="n">
        <v>1</v>
      </c>
      <c r="D49" s="33" t="n">
        <v>2</v>
      </c>
      <c r="E49" s="33" t="n">
        <v>3</v>
      </c>
      <c r="F49" s="22" t="s">
        <v>59</v>
      </c>
      <c r="G49" s="22"/>
    </row>
    <row r="50" customFormat="false" ht="15" hidden="false" customHeight="false" outlineLevel="0" collapsed="false">
      <c r="A50" s="22" t="s">
        <v>156</v>
      </c>
      <c r="B50" s="22" t="s">
        <v>94</v>
      </c>
      <c r="C50" s="33" t="n">
        <v>8</v>
      </c>
      <c r="D50" s="33" t="n">
        <v>16</v>
      </c>
      <c r="E50" s="33" t="n">
        <v>35</v>
      </c>
      <c r="F50" s="22" t="s">
        <v>59</v>
      </c>
      <c r="G50" s="22"/>
    </row>
    <row r="51" customFormat="false" ht="15" hidden="false" customHeight="false" outlineLevel="0" collapsed="false">
      <c r="A51" s="22" t="s">
        <v>157</v>
      </c>
      <c r="B51" s="22" t="s">
        <v>94</v>
      </c>
      <c r="C51" s="33" t="n">
        <v>1</v>
      </c>
      <c r="D51" s="33" t="n">
        <v>2</v>
      </c>
      <c r="E51" s="33" t="n">
        <v>2</v>
      </c>
      <c r="F51" s="22" t="s">
        <v>59</v>
      </c>
      <c r="G51" s="22"/>
    </row>
    <row r="52" customFormat="false" ht="15" hidden="false" customHeight="false" outlineLevel="0" collapsed="false">
      <c r="A52" s="22" t="s">
        <v>158</v>
      </c>
      <c r="B52" s="22" t="s">
        <v>159</v>
      </c>
      <c r="C52" s="30" t="n">
        <v>200</v>
      </c>
      <c r="D52" s="30" t="n">
        <v>400</v>
      </c>
      <c r="E52" s="30" t="n">
        <v>994</v>
      </c>
      <c r="F52" s="22" t="s">
        <v>89</v>
      </c>
      <c r="G52" s="22" t="s">
        <v>160</v>
      </c>
    </row>
    <row r="53" customFormat="false" ht="15" hidden="false" customHeight="false" outlineLevel="0" collapsed="false">
      <c r="A53" s="22" t="s">
        <v>161</v>
      </c>
      <c r="B53" s="22" t="s">
        <v>49</v>
      </c>
      <c r="C53" s="31" t="n">
        <v>300</v>
      </c>
      <c r="D53" s="31" t="n">
        <v>800</v>
      </c>
      <c r="E53" s="31" t="n">
        <v>2000</v>
      </c>
      <c r="F53" s="22" t="s">
        <v>59</v>
      </c>
      <c r="G53" s="22"/>
    </row>
    <row r="54" customFormat="false" ht="15" hidden="false" customHeight="false" outlineLevel="0" collapsed="false">
      <c r="A54" s="22" t="s">
        <v>162</v>
      </c>
      <c r="B54" s="22" t="s">
        <v>49</v>
      </c>
      <c r="C54" s="31" t="n">
        <v>500</v>
      </c>
      <c r="D54" s="31" t="n">
        <v>1000</v>
      </c>
      <c r="E54" s="31" t="n">
        <v>2000</v>
      </c>
      <c r="F54" s="22" t="s">
        <v>59</v>
      </c>
      <c r="G54" s="22"/>
    </row>
    <row r="55" customFormat="false" ht="15" hidden="false" customHeight="false" outlineLevel="0" collapsed="false">
      <c r="A55" s="22" t="s">
        <v>163</v>
      </c>
      <c r="B55" s="22" t="s">
        <v>49</v>
      </c>
      <c r="C55" s="31" t="n">
        <v>500</v>
      </c>
      <c r="D55" s="31" t="n">
        <v>800</v>
      </c>
      <c r="E55" s="31" t="n">
        <v>1500</v>
      </c>
      <c r="F55" s="22" t="s">
        <v>59</v>
      </c>
      <c r="G55" s="22"/>
    </row>
    <row r="56" customFormat="false" ht="15" hidden="false" customHeight="false" outlineLevel="0" collapsed="false">
      <c r="A56" s="22" t="s">
        <v>164</v>
      </c>
      <c r="B56" s="22" t="s">
        <v>49</v>
      </c>
      <c r="C56" s="27" t="n">
        <v>0</v>
      </c>
      <c r="D56" s="27" t="n">
        <v>2000</v>
      </c>
      <c r="E56" s="27" t="n">
        <v>8000</v>
      </c>
      <c r="F56" s="22" t="s">
        <v>86</v>
      </c>
      <c r="G56" s="22"/>
    </row>
    <row r="57" customFormat="false" ht="15" hidden="false" customHeight="false" outlineLevel="0" collapsed="false">
      <c r="A57" s="22" t="s">
        <v>165</v>
      </c>
      <c r="B57" s="22" t="s">
        <v>49</v>
      </c>
      <c r="C57" s="27" t="n">
        <v>0</v>
      </c>
      <c r="D57" s="27" t="n">
        <v>0</v>
      </c>
      <c r="E57" s="27" t="n">
        <v>0</v>
      </c>
      <c r="F57" s="22" t="s">
        <v>86</v>
      </c>
      <c r="G57" s="22" t="s">
        <v>166</v>
      </c>
    </row>
    <row r="59" customFormat="false" ht="15" hidden="false" customHeight="false" outlineLevel="0" collapsed="false">
      <c r="A59" s="14" t="s">
        <v>167</v>
      </c>
    </row>
    <row r="60" customFormat="false" ht="15" hidden="false" customHeight="false" outlineLevel="0" collapsed="false">
      <c r="A60" s="0" t="s">
        <v>168</v>
      </c>
      <c r="B60" s="0" t="s">
        <v>79</v>
      </c>
      <c r="C60" s="16" t="n">
        <f aca="false">IF(Inputs!$C$4="yes",INDEX(Country!$D$2:$D$10,MATCH(Inputs!$C$3,Country!$A$2:$A$10,0)),INDEX(Country!$C$2:$C$10,MATCH(Inputs!$C$3,Country!$A$2:$A$10,0)))</f>
        <v>0.2</v>
      </c>
      <c r="F60" s="11" t="s">
        <v>169</v>
      </c>
    </row>
    <row r="61" customFormat="false" ht="15" hidden="false" customHeight="false" outlineLevel="0" collapsed="false">
      <c r="A61" s="0" t="s">
        <v>170</v>
      </c>
      <c r="B61" s="0" t="s">
        <v>79</v>
      </c>
      <c r="C61" s="16" t="n">
        <f aca="false">INDEX(Country!$E$2:$E$10,MATCH(Inputs!$C$3,Country!$A$2:$A$10,0))</f>
        <v>0.055</v>
      </c>
      <c r="F61" s="11" t="s">
        <v>169</v>
      </c>
    </row>
    <row r="62" customFormat="false" ht="15" hidden="false" customHeight="false" outlineLevel="0" collapsed="false">
      <c r="A62" s="0" t="s">
        <v>171</v>
      </c>
      <c r="B62" s="0" t="s">
        <v>49</v>
      </c>
      <c r="C62" s="18" t="n">
        <f aca="false">INDEX(Country!$F$2:$F$10,MATCH(Inputs!$C$3,Country!$A$2:$A$10,0))</f>
        <v>0.99</v>
      </c>
      <c r="F62" s="11" t="s">
        <v>169</v>
      </c>
    </row>
    <row r="63" customFormat="false" ht="15" hidden="false" customHeight="false" outlineLevel="0" collapsed="false">
      <c r="A63" s="0" t="s">
        <v>172</v>
      </c>
      <c r="B63" s="0" t="s">
        <v>49</v>
      </c>
      <c r="C63" s="18" t="n">
        <f aca="false">IF(INDEX(Country!$G$2:$G$10,MATCH(Inputs!$C$3,Country!$A$2:$A$10,0))="",Country!$G$3,INDEX(Country!$G$2:$G$10,MATCH(Inputs!$C$3,Country!$A$2:$A$10,0)))</f>
        <v>54.33</v>
      </c>
      <c r="F63" s="11" t="s">
        <v>169</v>
      </c>
    </row>
    <row r="64" customFormat="false" ht="15" hidden="false" customHeight="false" outlineLevel="0" collapsed="false">
      <c r="A64" s="0" t="s">
        <v>173</v>
      </c>
      <c r="B64" s="0" t="s">
        <v>152</v>
      </c>
      <c r="C64" s="35" t="n">
        <f aca="false">IF(Inputs!$C$5="yes",INDEX(Country!$H$2:$H$10,MATCH(Inputs!$C$3,Country!$A$2:$A$10,0))/108.8,1)</f>
        <v>1.02665441176471</v>
      </c>
      <c r="F64" s="11" t="s">
        <v>169</v>
      </c>
    </row>
    <row r="65" customFormat="false" ht="15" hidden="false" customHeight="false" outlineLevel="0" collapsed="false">
      <c r="A65" s="0" t="s">
        <v>174</v>
      </c>
      <c r="B65" s="0" t="s">
        <v>49</v>
      </c>
      <c r="C65" s="18" t="str">
        <f aca="false">IFERROR(IF(INDEX(Country!$I$2:$I$10,MATCH(Inputs!$C$3,Country!$A$2:$A$10,0))="","fewer than 5 events",INDEX(Country!$I$2:$I$10,MATCH(Inputs!$C$3,Country!$A$2:$A$10,0))),"")</f>
        <v>fewer than 5 events</v>
      </c>
      <c r="F65" s="11" t="s">
        <v>169</v>
      </c>
    </row>
  </sheetData>
  <dataValidations count="2">
    <dataValidation allowBlank="false" errorStyle="stop" operator="between" showDropDown="false" showErrorMessage="false" showInputMessage="false" sqref="C3" type="list">
      <formula1>"AT,DE,ES,IT,FR,NL,PL,CZ,GB"</formula1>
      <formula2>0</formula2>
    </dataValidation>
    <dataValidation allowBlank="false" errorStyle="stop" operator="between" showDropDown="false" showErrorMessage="false" showInputMessage="false" sqref="C4:C5 C2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4"/>
  </cols>
  <sheetData>
    <row r="1" customFormat="false" ht="28.35" hidden="false" customHeight="false" outlineLevel="0" collapsed="false">
      <c r="A1" s="9" t="s">
        <v>175</v>
      </c>
      <c r="B1" s="9" t="s">
        <v>176</v>
      </c>
      <c r="C1" s="9" t="s">
        <v>177</v>
      </c>
      <c r="D1" s="9" t="s">
        <v>178</v>
      </c>
      <c r="E1" s="9" t="s">
        <v>179</v>
      </c>
    </row>
    <row r="2" customFormat="false" ht="15" hidden="false" customHeight="false" outlineLevel="0" collapsed="false">
      <c r="A2" s="0" t="s">
        <v>180</v>
      </c>
      <c r="B2" s="20" t="n">
        <f aca="false">Inputs!$C$8</f>
        <v>110</v>
      </c>
      <c r="C2" s="20" t="n">
        <f aca="false">Results!D5-0.2*Inputs!$C$8*Results!D12</f>
        <v>-12913.7966544706</v>
      </c>
      <c r="D2" s="20" t="n">
        <f aca="false">Results!D5+0.2*Inputs!$C$8*Results!D12</f>
        <v>4233.00334552941</v>
      </c>
      <c r="E2" s="20" t="n">
        <f aca="false">D2-C2</f>
        <v>17146.8</v>
      </c>
    </row>
    <row r="3" customFormat="false" ht="15" hidden="false" customHeight="false" outlineLevel="0" collapsed="false">
      <c r="A3" s="0" t="s">
        <v>181</v>
      </c>
      <c r="B3" s="36" t="n">
        <f aca="false">Inputs!$D$39</f>
        <v>800</v>
      </c>
      <c r="C3" s="20" t="n">
        <f aca="false">Results!D5-0.2*Inputs!$D$39*(Results!D8-Results!D9)</f>
        <v>-15371.4566544706</v>
      </c>
      <c r="D3" s="20" t="n">
        <f aca="false">Results!D5+0.2*Inputs!$D$39*(Results!D8-Results!D9)</f>
        <v>6690.66334552941</v>
      </c>
      <c r="E3" s="20" t="n">
        <f aca="false">D3-C3</f>
        <v>22062.12</v>
      </c>
    </row>
    <row r="4" customFormat="false" ht="15" hidden="false" customHeight="false" outlineLevel="0" collapsed="false">
      <c r="A4" s="0" t="str">
        <f aca="false">Model!A10</f>
        <v>Artist fees</v>
      </c>
      <c r="B4" s="20" t="n">
        <f aca="false">Model!D10</f>
        <v>9600</v>
      </c>
      <c r="C4" s="20" t="n">
        <f aca="false">Results!D5+0.2*Model!D10</f>
        <v>-2420.39665447059</v>
      </c>
      <c r="D4" s="20" t="n">
        <f aca="false">Results!D5-0.2*Model!D10</f>
        <v>-6260.39665447059</v>
      </c>
      <c r="E4" s="20" t="n">
        <f aca="false">C4-D4</f>
        <v>3840</v>
      </c>
    </row>
    <row r="5" customFormat="false" ht="15" hidden="false" customHeight="false" outlineLevel="0" collapsed="false">
      <c r="A5" s="0" t="str">
        <f aca="false">Model!A16</f>
        <v>Party hall</v>
      </c>
      <c r="B5" s="20" t="n">
        <f aca="false">Model!D16</f>
        <v>7699.90808823529</v>
      </c>
      <c r="C5" s="20" t="n">
        <f aca="false">Results!D5+0.2*Model!D16</f>
        <v>-2800.41503682353</v>
      </c>
      <c r="D5" s="20" t="n">
        <f aca="false">Results!D5-0.2*Model!D16</f>
        <v>-5880.37827211765</v>
      </c>
      <c r="E5" s="20" t="n">
        <f aca="false">C5-D5</f>
        <v>3079.96323529412</v>
      </c>
    </row>
    <row r="6" customFormat="false" ht="15" hidden="false" customHeight="false" outlineLevel="0" collapsed="false">
      <c r="A6" s="0" t="str">
        <f aca="false">Model!A19</f>
        <v>Sound and light</v>
      </c>
      <c r="B6" s="20" t="n">
        <f aca="false">Model!D19</f>
        <v>6914.51746323529</v>
      </c>
      <c r="C6" s="20" t="n">
        <f aca="false">Results!D5+0.2*Model!D19</f>
        <v>-2957.49316182353</v>
      </c>
      <c r="D6" s="20" t="n">
        <f aca="false">Results!D5-0.2*Model!D19</f>
        <v>-5723.30014711765</v>
      </c>
      <c r="E6" s="20" t="n">
        <f aca="false">C6-D6</f>
        <v>2765.80698529412</v>
      </c>
    </row>
    <row r="7" customFormat="false" ht="15" hidden="false" customHeight="false" outlineLevel="0" collapsed="false">
      <c r="A7" s="0" t="str">
        <f aca="false">Model!A32</f>
        <v>Contingency</v>
      </c>
      <c r="B7" s="20" t="n">
        <f aca="false">Model!D32</f>
        <v>5589.42696858824</v>
      </c>
      <c r="C7" s="20" t="n">
        <f aca="false">Results!D5+0.2*Model!D32</f>
        <v>-3222.51126075294</v>
      </c>
      <c r="D7" s="20" t="n">
        <f aca="false">Results!D5-0.2*Model!D32</f>
        <v>-5458.28204818824</v>
      </c>
      <c r="E7" s="20" t="n">
        <f aca="false">C7-D7</f>
        <v>2235.77078743529</v>
      </c>
    </row>
    <row r="8" customFormat="false" ht="15" hidden="false" customHeight="false" outlineLevel="0" collapsed="false">
      <c r="A8" s="0" t="str">
        <f aca="false">Model!A25</f>
        <v>Photo and video</v>
      </c>
      <c r="B8" s="20" t="n">
        <f aca="false">Model!D25</f>
        <v>5543.93382352941</v>
      </c>
      <c r="C8" s="20" t="n">
        <f aca="false">Results!D5+0.2*Model!D25</f>
        <v>-3231.60988976471</v>
      </c>
      <c r="D8" s="20" t="n">
        <f aca="false">Results!D5-0.2*Model!D25</f>
        <v>-5449.18341917647</v>
      </c>
      <c r="E8" s="20" t="n">
        <f aca="false">C8-D8</f>
        <v>2217.57352941177</v>
      </c>
    </row>
    <row r="9" customFormat="false" ht="15" hidden="false" customHeight="false" outlineLevel="0" collapsed="false">
      <c r="A9" s="0" t="str">
        <f aca="false">Model!A33</f>
        <v>Ticket platform fees</v>
      </c>
      <c r="B9" s="20" t="n">
        <f aca="false">Model!D33</f>
        <v>4702.5</v>
      </c>
      <c r="C9" s="20" t="n">
        <f aca="false">Results!D5+0.2*Model!D33</f>
        <v>-3399.89665447059</v>
      </c>
      <c r="D9" s="20" t="n">
        <f aca="false">Results!D5-0.2*Model!D33</f>
        <v>-5280.89665447059</v>
      </c>
      <c r="E9" s="20" t="n">
        <f aca="false">C9-D9</f>
        <v>1881</v>
      </c>
    </row>
    <row r="10" customFormat="false" ht="15" hidden="false" customHeight="false" outlineLevel="0" collapsed="false">
      <c r="A10" s="0" t="str">
        <f aca="false">Model!A14</f>
        <v>DJs</v>
      </c>
      <c r="B10" s="20" t="n">
        <f aca="false">Model!D14</f>
        <v>3600</v>
      </c>
      <c r="C10" s="20" t="n">
        <f aca="false">Results!D5+0.2*Model!D14</f>
        <v>-3620.39665447059</v>
      </c>
      <c r="D10" s="20" t="n">
        <f aca="false">Results!D5-0.2*Model!D14</f>
        <v>-5060.39665447059</v>
      </c>
      <c r="E10" s="20" t="n">
        <f aca="false">C10-D10</f>
        <v>1440</v>
      </c>
    </row>
    <row r="11" customFormat="false" ht="15" hidden="false" customHeight="false" outlineLevel="0" collapsed="false">
      <c r="A11" s="0" t="str">
        <f aca="false">Model!A12</f>
        <v>Artist hotel</v>
      </c>
      <c r="B11" s="20" t="n">
        <f aca="false">Model!D12</f>
        <v>3326.36029411765</v>
      </c>
      <c r="C11" s="20" t="n">
        <f aca="false">Results!D5+0.2*Model!D12</f>
        <v>-3675.12459564706</v>
      </c>
      <c r="D11" s="20" t="n">
        <f aca="false">Results!D5-0.2*Model!D12</f>
        <v>-5005.66871329412</v>
      </c>
      <c r="E11" s="20" t="n">
        <f aca="false">C11-D11</f>
        <v>1330.54411764706</v>
      </c>
    </row>
    <row r="12" customFormat="false" ht="15" hidden="false" customHeight="false" outlineLevel="0" collapsed="false">
      <c r="A12" s="0" t="str">
        <f aca="false">Model!A35</f>
        <v>Marketing</v>
      </c>
      <c r="B12" s="20" t="n">
        <f aca="false">Model!D35</f>
        <v>3321.7</v>
      </c>
      <c r="C12" s="20" t="n">
        <f aca="false">Results!D5+0.2*Model!D35</f>
        <v>-3676.05665447059</v>
      </c>
      <c r="D12" s="20" t="n">
        <f aca="false">Results!D5-0.2*Model!D35</f>
        <v>-5004.73665447059</v>
      </c>
      <c r="E12" s="20" t="n">
        <f aca="false">C12-D12</f>
        <v>1328.68</v>
      </c>
    </row>
    <row r="13" customFormat="false" ht="15" hidden="false" customHeight="false" outlineLevel="0" collapsed="false">
      <c r="A13" s="0" t="str">
        <f aca="false">Model!A18</f>
        <v>Dance floor</v>
      </c>
      <c r="B13" s="20" t="n">
        <f aca="false">Model!D18</f>
        <v>3079.96323529412</v>
      </c>
      <c r="C13" s="20" t="n">
        <f aca="false">Results!D5+0.2*Model!D18</f>
        <v>-3724.40400741177</v>
      </c>
      <c r="D13" s="20" t="n">
        <f aca="false">Results!D5-0.2*Model!D18</f>
        <v>-4956.38930152941</v>
      </c>
      <c r="E13" s="20" t="n">
        <f aca="false">C13-D13</f>
        <v>1231.98529411765</v>
      </c>
    </row>
    <row r="14" customFormat="false" ht="15" hidden="false" customHeight="false" outlineLevel="0" collapsed="false">
      <c r="A14" s="0" t="str">
        <f aca="false">Model!A23</f>
        <v>Security</v>
      </c>
      <c r="B14" s="20" t="n">
        <f aca="false">Model!D23</f>
        <v>3029.57503676471</v>
      </c>
      <c r="C14" s="20" t="n">
        <f aca="false">Results!D5+0.2*Model!D23</f>
        <v>-3734.48164711765</v>
      </c>
      <c r="D14" s="20" t="n">
        <f aca="false">Results!D5-0.2*Model!D23</f>
        <v>-4946.31166182353</v>
      </c>
      <c r="E14" s="20" t="n">
        <f aca="false">C14-D14</f>
        <v>1211.83001470588</v>
      </c>
    </row>
    <row r="15" customFormat="false" ht="15" hidden="false" customHeight="false" outlineLevel="0" collapsed="false">
      <c r="A15" s="0" t="str">
        <f aca="false">Model!A17</f>
        <v>Workshop rooms</v>
      </c>
      <c r="B15" s="20" t="n">
        <f aca="false">Model!D17</f>
        <v>2771.96691176471</v>
      </c>
      <c r="C15" s="20" t="n">
        <f aca="false">Results!D5+0.2*Model!D17</f>
        <v>-3786.00327211765</v>
      </c>
      <c r="D15" s="20" t="n">
        <f aca="false">Results!D5-0.2*Model!D17</f>
        <v>-4894.79003682353</v>
      </c>
      <c r="E15" s="20" t="n">
        <f aca="false">C15-D15</f>
        <v>1108.78676470588</v>
      </c>
    </row>
    <row r="16" customFormat="false" ht="15" hidden="false" customHeight="false" outlineLevel="0" collapsed="false">
      <c r="A16" s="0" t="str">
        <f aca="false">Model!A11</f>
        <v>Artist flights</v>
      </c>
      <c r="B16" s="20" t="n">
        <f aca="false">Model!D11</f>
        <v>2276.05248</v>
      </c>
      <c r="C16" s="20" t="n">
        <f aca="false">Results!D5+0.2*Model!D11</f>
        <v>-3885.18615847059</v>
      </c>
      <c r="D16" s="20" t="n">
        <f aca="false">Results!D5-0.2*Model!D11</f>
        <v>-4795.60715047059</v>
      </c>
      <c r="E16" s="20" t="n">
        <f aca="false">C16-D16</f>
        <v>910.420992</v>
      </c>
    </row>
    <row r="17" customFormat="false" ht="15" hidden="false" customHeight="false" outlineLevel="0" collapsed="false">
      <c r="A17" s="0" t="str">
        <f aca="false">Model!A13</f>
        <v>Artist meals</v>
      </c>
      <c r="B17" s="20" t="n">
        <f aca="false">Model!D13</f>
        <v>1995.81617647059</v>
      </c>
      <c r="C17" s="20" t="n">
        <f aca="false">Results!D5+0.2*Model!D13</f>
        <v>-3941.23341917647</v>
      </c>
      <c r="D17" s="20" t="n">
        <f aca="false">Results!D5-0.2*Model!D13</f>
        <v>-4739.55988976471</v>
      </c>
      <c r="E17" s="20" t="n">
        <f aca="false">C17-D17</f>
        <v>798.326470588236</v>
      </c>
    </row>
    <row r="18" customFormat="false" ht="15" hidden="false" customHeight="false" outlineLevel="0" collapsed="false">
      <c r="A18" s="0" t="str">
        <f aca="false">Model!A24</f>
        <v>First aid</v>
      </c>
      <c r="B18" s="20" t="n">
        <f aca="false">Model!D24</f>
        <v>1724.77941176471</v>
      </c>
      <c r="C18" s="20" t="n">
        <f aca="false">Results!D5+0.2*Model!D24</f>
        <v>-3995.44077211765</v>
      </c>
      <c r="D18" s="20" t="n">
        <f aca="false">Results!D5-0.2*Model!D24</f>
        <v>-4685.35253682353</v>
      </c>
      <c r="E18" s="20" t="n">
        <f aca="false">C18-D18</f>
        <v>689.911764705883</v>
      </c>
    </row>
    <row r="19" customFormat="false" ht="15" hidden="false" customHeight="false" outlineLevel="0" collapsed="false">
      <c r="A19" s="0" t="str">
        <f aca="false">Model!A34</f>
        <v>Card payment fees</v>
      </c>
      <c r="B19" s="20" t="n">
        <f aca="false">Model!D34</f>
        <v>1266.5</v>
      </c>
      <c r="C19" s="20" t="n">
        <f aca="false">Results!D5+0.2*Model!D34</f>
        <v>-4087.09665447059</v>
      </c>
      <c r="D19" s="20" t="n">
        <f aca="false">Results!D5-0.2*Model!D34</f>
        <v>-4593.69665447059</v>
      </c>
      <c r="E19" s="20" t="n">
        <f aca="false">C19-D19</f>
        <v>506.6</v>
      </c>
    </row>
    <row r="20" customFormat="false" ht="15" hidden="false" customHeight="false" outlineLevel="0" collapsed="false">
      <c r="A20" s="0" t="str">
        <f aca="false">Model!A29</f>
        <v>Website, software, admin</v>
      </c>
      <c r="B20" s="20" t="n">
        <f aca="false">Model!D29</f>
        <v>1000</v>
      </c>
      <c r="C20" s="20" t="n">
        <f aca="false">Results!D5+0.2*Model!D29</f>
        <v>-4140.39665447059</v>
      </c>
      <c r="D20" s="20" t="n">
        <f aca="false">Results!D5-0.2*Model!D29</f>
        <v>-4540.39665447059</v>
      </c>
      <c r="E20" s="20" t="n">
        <f aca="false">C20-D20</f>
        <v>400</v>
      </c>
    </row>
    <row r="21" customFormat="false" ht="15" hidden="false" customHeight="false" outlineLevel="0" collapsed="false">
      <c r="A21" s="0" t="str">
        <f aca="false">Model!A26</f>
        <v>Volunteers' meals</v>
      </c>
      <c r="B21" s="20" t="n">
        <f aca="false">Model!D26</f>
        <v>985.588235294118</v>
      </c>
      <c r="C21" s="20" t="n">
        <f aca="false">Results!D5+0.2*Model!D26</f>
        <v>-4143.27900741177</v>
      </c>
      <c r="D21" s="20" t="n">
        <f aca="false">Results!D5-0.2*Model!D26</f>
        <v>-4537.51430152941</v>
      </c>
      <c r="E21" s="20" t="n">
        <f aca="false">C21-D21</f>
        <v>394.235294117647</v>
      </c>
    </row>
    <row r="22" customFormat="false" ht="15" hidden="false" customHeight="false" outlineLevel="0" collapsed="false">
      <c r="A22" s="0" t="str">
        <f aca="false">Model!A21</f>
        <v>Decoration and stage</v>
      </c>
      <c r="B22" s="20" t="n">
        <f aca="false">Model!D21</f>
        <v>821.323529411765</v>
      </c>
      <c r="C22" s="20" t="n">
        <f aca="false">Results!D5+0.2*Model!D21</f>
        <v>-4176.13194858824</v>
      </c>
      <c r="D22" s="20" t="n">
        <f aca="false">Results!D5-0.2*Model!D21</f>
        <v>-4504.66136035294</v>
      </c>
      <c r="E22" s="20" t="n">
        <f aca="false">C22-D22</f>
        <v>328.529411764706</v>
      </c>
    </row>
    <row r="23" customFormat="false" ht="15" hidden="false" customHeight="false" outlineLevel="0" collapsed="false">
      <c r="A23" s="0" t="str">
        <f aca="false">Model!A30</f>
        <v>Accounting and legal</v>
      </c>
      <c r="B23" s="20" t="n">
        <f aca="false">Model!D30</f>
        <v>800</v>
      </c>
      <c r="C23" s="20" t="n">
        <f aca="false">Results!D5+0.2*Model!D30</f>
        <v>-4180.39665447059</v>
      </c>
      <c r="D23" s="20" t="n">
        <f aca="false">Results!D5-0.2*Model!D30</f>
        <v>-4500.39665447059</v>
      </c>
      <c r="E23" s="20" t="n">
        <f aca="false">C23-D23</f>
        <v>320</v>
      </c>
    </row>
    <row r="24" customFormat="false" ht="15" hidden="false" customHeight="false" outlineLevel="0" collapsed="false">
      <c r="A24" s="0" t="str">
        <f aca="false">Model!A28</f>
        <v>Insurance</v>
      </c>
      <c r="B24" s="20" t="n">
        <f aca="false">Model!D28</f>
        <v>400</v>
      </c>
      <c r="C24" s="20" t="n">
        <f aca="false">Results!D5+0.2*Model!D28</f>
        <v>-4260.39665447059</v>
      </c>
      <c r="D24" s="20" t="n">
        <f aca="false">Results!D5-0.2*Model!D28</f>
        <v>-4420.39665447059</v>
      </c>
      <c r="E24" s="20" t="n">
        <f aca="false">C24-D24</f>
        <v>160</v>
      </c>
    </row>
    <row r="25" customFormat="false" ht="15" hidden="false" customHeight="false" outlineLevel="0" collapsed="false">
      <c r="A25" s="0" t="str">
        <f aca="false">Model!A20</f>
        <v>Music rights</v>
      </c>
      <c r="B25" s="20" t="n">
        <f aca="false">Model!D20</f>
        <v>244.485</v>
      </c>
      <c r="C25" s="20" t="n">
        <f aca="false">Results!D5+0.2*Model!D20</f>
        <v>-4291.49965447059</v>
      </c>
      <c r="D25" s="20" t="n">
        <f aca="false">Results!D5-0.2*Model!D20</f>
        <v>-4389.29365447059</v>
      </c>
      <c r="E25" s="20" t="n">
        <f aca="false">C25-D25</f>
        <v>97.7939999999999</v>
      </c>
    </row>
    <row r="26" customFormat="false" ht="15" hidden="false" customHeight="false" outlineLevel="0" collapsed="false">
      <c r="A26" s="0" t="str">
        <f aca="false">Model!A27</f>
        <v>Wristbands and passes</v>
      </c>
      <c r="B26" s="20" t="n">
        <f aca="false">Model!D27</f>
        <v>80</v>
      </c>
      <c r="C26" s="20" t="n">
        <f aca="false">Results!D5+0.2*Model!D27</f>
        <v>-4324.39665447059</v>
      </c>
      <c r="D26" s="20" t="n">
        <f aca="false">Results!D5-0.2*Model!D27</f>
        <v>-4356.39665447059</v>
      </c>
      <c r="E26" s="20" t="n">
        <f aca="false">C26-D26</f>
        <v>32</v>
      </c>
    </row>
    <row r="28" customFormat="false" ht="15" hidden="false" customHeight="false" outlineLevel="0" collapsed="false">
      <c r="A28" s="19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5" min="3" style="0" width="14"/>
  </cols>
  <sheetData>
    <row r="1" customFormat="false" ht="15" hidden="false" customHeight="false" outlineLevel="0" collapsed="false">
      <c r="A1" s="9" t="s">
        <v>183</v>
      </c>
      <c r="B1" s="9" t="s">
        <v>20</v>
      </c>
      <c r="C1" s="9" t="s">
        <v>21</v>
      </c>
      <c r="D1" s="9" t="s">
        <v>22</v>
      </c>
      <c r="E1" s="9" t="s">
        <v>23</v>
      </c>
    </row>
    <row r="2" customFormat="false" ht="15" hidden="false" customHeight="false" outlineLevel="0" collapsed="false">
      <c r="A2" s="37" t="s">
        <v>184</v>
      </c>
      <c r="B2" s="38"/>
      <c r="C2" s="38"/>
      <c r="D2" s="38"/>
      <c r="E2" s="38"/>
    </row>
    <row r="3" customFormat="false" ht="15" hidden="false" customHeight="false" outlineLevel="0" collapsed="false">
      <c r="A3" s="10" t="s">
        <v>185</v>
      </c>
      <c r="B3" s="39" t="s">
        <v>186</v>
      </c>
      <c r="C3" s="13" t="n">
        <f aca="false">Inputs!$C$39*(Inputs!$C$40*Inputs!$C$8+(1-Inputs!$C$40)*Inputs!$C$10)*(1-Inputs!$C$9)</f>
        <v>26662.5</v>
      </c>
      <c r="D3" s="13" t="n">
        <f aca="false">Inputs!$D$39*(Inputs!$D$40*Inputs!$C$8+(1-Inputs!$D$40)*Inputs!$C$10)*(1-Inputs!$C$9)</f>
        <v>71100</v>
      </c>
      <c r="E3" s="13" t="n">
        <f aca="false">Inputs!$E$39*(Inputs!$E$40*Inputs!$C$8+(1-Inputs!$E$40)*Inputs!$C$10)*(1-Inputs!$C$9)</f>
        <v>177750</v>
      </c>
    </row>
    <row r="4" customFormat="false" ht="15" hidden="false" customHeight="false" outlineLevel="0" collapsed="false">
      <c r="A4" s="10" t="s">
        <v>187</v>
      </c>
      <c r="B4" s="39" t="s">
        <v>188</v>
      </c>
      <c r="C4" s="13" t="n">
        <f aca="false">C3/(1+Inputs!$C$60)</f>
        <v>22218.75</v>
      </c>
      <c r="D4" s="13" t="n">
        <f aca="false">D3/(1+Inputs!$C$60)</f>
        <v>59250</v>
      </c>
      <c r="E4" s="13" t="n">
        <f aca="false">E3/(1+Inputs!$C$60)</f>
        <v>148125</v>
      </c>
    </row>
    <row r="5" customFormat="false" ht="15" hidden="false" customHeight="false" outlineLevel="0" collapsed="false">
      <c r="A5" s="10" t="s">
        <v>189</v>
      </c>
      <c r="B5" s="39" t="s">
        <v>190</v>
      </c>
      <c r="C5" s="13" t="n">
        <f aca="false">Inputs!$C$39*Inputs!$C$11*Inputs!$C$12*Inputs!$C$7*Inputs!$C$13</f>
        <v>1944</v>
      </c>
      <c r="D5" s="13" t="n">
        <f aca="false">Inputs!$D$39*Inputs!$C$11*Inputs!$C$12*Inputs!$C$7*Inputs!$C$13</f>
        <v>5184</v>
      </c>
      <c r="E5" s="13" t="n">
        <f aca="false">Inputs!$E$39*Inputs!$C$11*Inputs!$C$12*Inputs!$C$7*Inputs!$C$13</f>
        <v>12960</v>
      </c>
    </row>
    <row r="6" customFormat="false" ht="15" hidden="false" customHeight="false" outlineLevel="0" collapsed="false">
      <c r="A6" s="10" t="s">
        <v>191</v>
      </c>
      <c r="B6" s="39" t="s">
        <v>25</v>
      </c>
      <c r="C6" s="13" t="n">
        <f aca="false">Inputs!$C$56</f>
        <v>0</v>
      </c>
      <c r="D6" s="13" t="n">
        <f aca="false">Inputs!$D$56</f>
        <v>2000</v>
      </c>
      <c r="E6" s="13" t="n">
        <f aca="false">Inputs!$E$56</f>
        <v>8000</v>
      </c>
    </row>
    <row r="7" customFormat="false" ht="15" hidden="false" customHeight="false" outlineLevel="0" collapsed="false">
      <c r="A7" s="10" t="s">
        <v>192</v>
      </c>
      <c r="B7" s="39" t="s">
        <v>25</v>
      </c>
      <c r="C7" s="13" t="n">
        <f aca="false">Inputs!$C$57</f>
        <v>0</v>
      </c>
      <c r="D7" s="13" t="n">
        <f aca="false">Inputs!$D$57</f>
        <v>0</v>
      </c>
      <c r="E7" s="13" t="n">
        <f aca="false">Inputs!$E$57</f>
        <v>0</v>
      </c>
    </row>
    <row r="8" customFormat="false" ht="15" hidden="false" customHeight="false" outlineLevel="0" collapsed="false">
      <c r="A8" s="14" t="s">
        <v>26</v>
      </c>
      <c r="B8" s="39" t="s">
        <v>193</v>
      </c>
      <c r="C8" s="15" t="n">
        <f aca="false">SUM(C4:C7)</f>
        <v>24162.75</v>
      </c>
      <c r="D8" s="15" t="n">
        <f aca="false">SUM(D4:D7)</f>
        <v>66434</v>
      </c>
      <c r="E8" s="15" t="n">
        <f aca="false">SUM(E4:E7)</f>
        <v>169085</v>
      </c>
    </row>
    <row r="9" customFormat="false" ht="15" hidden="false" customHeight="false" outlineLevel="0" collapsed="false">
      <c r="A9" s="37" t="s">
        <v>194</v>
      </c>
      <c r="B9" s="38"/>
      <c r="C9" s="38"/>
      <c r="D9" s="38"/>
      <c r="E9" s="38"/>
    </row>
    <row r="10" customFormat="false" ht="15" hidden="false" customHeight="false" outlineLevel="0" collapsed="false">
      <c r="A10" s="10" t="s">
        <v>195</v>
      </c>
      <c r="B10" s="39" t="s">
        <v>196</v>
      </c>
      <c r="C10" s="13" t="n">
        <f aca="false">Inputs!$C$41*Inputs!$C$14</f>
        <v>4800</v>
      </c>
      <c r="D10" s="13" t="n">
        <f aca="false">Inputs!$D$41*Inputs!$C$14</f>
        <v>9600</v>
      </c>
      <c r="E10" s="13" t="n">
        <f aca="false">Inputs!$E$41*Inputs!$C$14</f>
        <v>20000</v>
      </c>
    </row>
    <row r="11" customFormat="false" ht="15" hidden="false" customHeight="false" outlineLevel="0" collapsed="false">
      <c r="A11" s="10" t="s">
        <v>197</v>
      </c>
      <c r="B11" s="39" t="s">
        <v>198</v>
      </c>
      <c r="C11" s="13" t="n">
        <f aca="false">Inputs!$C$41*Inputs!$C$15*Inputs!$C$16*Inputs!$C$17*2*(1+Inputs!$C$18)</f>
        <v>1138.02624</v>
      </c>
      <c r="D11" s="13" t="n">
        <f aca="false">Inputs!$D$41*Inputs!$C$15*Inputs!$C$16*Inputs!$C$17*2*(1+Inputs!$C$18)</f>
        <v>2276.05248</v>
      </c>
      <c r="E11" s="13" t="n">
        <f aca="false">Inputs!$E$41*Inputs!$C$15*Inputs!$C$16*Inputs!$C$17*2*(1+Inputs!$C$18)</f>
        <v>4741.776</v>
      </c>
    </row>
    <row r="12" customFormat="false" ht="15" hidden="false" customHeight="false" outlineLevel="0" collapsed="false">
      <c r="A12" s="10" t="s">
        <v>199</v>
      </c>
      <c r="B12" s="39" t="s">
        <v>200</v>
      </c>
      <c r="C12" s="13" t="n">
        <f aca="false">Inputs!$C$41*Inputs!$C$19*Inputs!$C$6*Inputs!$C$64</f>
        <v>1663.18014705882</v>
      </c>
      <c r="D12" s="13" t="n">
        <f aca="false">Inputs!$D$41*Inputs!$C$19*Inputs!$C$6*Inputs!$C$64</f>
        <v>3326.36029411765</v>
      </c>
      <c r="E12" s="13" t="n">
        <f aca="false">Inputs!$E$41*Inputs!$C$19*Inputs!$C$6*Inputs!$C$64</f>
        <v>6929.91727941177</v>
      </c>
    </row>
    <row r="13" customFormat="false" ht="15" hidden="false" customHeight="false" outlineLevel="0" collapsed="false">
      <c r="A13" s="10" t="s">
        <v>201</v>
      </c>
      <c r="B13" s="39" t="s">
        <v>202</v>
      </c>
      <c r="C13" s="13" t="n">
        <f aca="false">Inputs!$C$41*Inputs!$C$15*Inputs!$C$20*Inputs!$C$6*Inputs!$C$64</f>
        <v>997.908088235294</v>
      </c>
      <c r="D13" s="13" t="n">
        <f aca="false">Inputs!$D$41*Inputs!$C$15*Inputs!$C$20*Inputs!$C$6*Inputs!$C$64</f>
        <v>1995.81617647059</v>
      </c>
      <c r="E13" s="13" t="n">
        <f aca="false">Inputs!$E$41*Inputs!$C$15*Inputs!$C$20*Inputs!$C$6*Inputs!$C$64</f>
        <v>4157.95036764706</v>
      </c>
    </row>
    <row r="14" customFormat="false" ht="15" hidden="false" customHeight="false" outlineLevel="0" collapsed="false">
      <c r="A14" s="10" t="s">
        <v>141</v>
      </c>
      <c r="B14" s="39" t="s">
        <v>203</v>
      </c>
      <c r="C14" s="13" t="n">
        <f aca="false">Inputs!$C$42*(Inputs!$C$21*Inputs!$C$7+Inputs!$C$22)</f>
        <v>1800</v>
      </c>
      <c r="D14" s="13" t="n">
        <f aca="false">Inputs!$D$42*(Inputs!$C$21*Inputs!$C$7+Inputs!$C$22)</f>
        <v>3600</v>
      </c>
      <c r="E14" s="13" t="n">
        <f aca="false">Inputs!$E$42*(Inputs!$C$21*Inputs!$C$7+Inputs!$C$22)</f>
        <v>5400</v>
      </c>
    </row>
    <row r="15" customFormat="false" ht="15" hidden="false" customHeight="false" outlineLevel="0" collapsed="false">
      <c r="A15" s="37" t="s">
        <v>204</v>
      </c>
      <c r="B15" s="38"/>
      <c r="C15" s="38"/>
      <c r="D15" s="38"/>
      <c r="E15" s="38"/>
    </row>
    <row r="16" customFormat="false" ht="15" hidden="false" customHeight="false" outlineLevel="0" collapsed="false">
      <c r="A16" s="10" t="s">
        <v>205</v>
      </c>
      <c r="B16" s="39" t="s">
        <v>206</v>
      </c>
      <c r="C16" s="13" t="n">
        <f aca="false">Inputs!$C$44*Inputs!$C$6*Inputs!$C$64</f>
        <v>3079.96323529412</v>
      </c>
      <c r="D16" s="13" t="n">
        <f aca="false">Inputs!$D$44*Inputs!$C$6*Inputs!$C$64</f>
        <v>7699.90808823529</v>
      </c>
      <c r="E16" s="13" t="n">
        <f aca="false">Inputs!$E$44*Inputs!$C$6*Inputs!$C$64</f>
        <v>18479.7794117647</v>
      </c>
    </row>
    <row r="17" customFormat="false" ht="15" hidden="false" customHeight="false" outlineLevel="0" collapsed="false">
      <c r="A17" s="10" t="s">
        <v>142</v>
      </c>
      <c r="B17" s="39" t="s">
        <v>207</v>
      </c>
      <c r="C17" s="13" t="n">
        <f aca="false">Inputs!$C$43*Inputs!$C$23*Inputs!$C$6*Inputs!$C$64</f>
        <v>1847.97794117647</v>
      </c>
      <c r="D17" s="13" t="n">
        <f aca="false">Inputs!$D$43*Inputs!$C$23*Inputs!$C$6*Inputs!$C$64</f>
        <v>2771.96691176471</v>
      </c>
      <c r="E17" s="13" t="n">
        <f aca="false">Inputs!$E$43*Inputs!$C$23*Inputs!$C$6*Inputs!$C$64</f>
        <v>4619.94485294118</v>
      </c>
    </row>
    <row r="18" customFormat="false" ht="15" hidden="false" customHeight="false" outlineLevel="0" collapsed="false">
      <c r="A18" s="10" t="s">
        <v>208</v>
      </c>
      <c r="B18" s="39" t="s">
        <v>209</v>
      </c>
      <c r="C18" s="13" t="n">
        <f aca="false">IF(Inputs!$C$24="yes",Inputs!$C$45*Inputs!$C$25*Inputs!$C$64,0)</f>
        <v>1539.98161764706</v>
      </c>
      <c r="D18" s="13" t="n">
        <f aca="false">IF(Inputs!$C$24="yes",Inputs!$D$45*Inputs!$C$25*Inputs!$C$64,0)</f>
        <v>3079.96323529412</v>
      </c>
      <c r="E18" s="13" t="n">
        <f aca="false">IF(Inputs!$C$24="yes",Inputs!$E$45*Inputs!$C$25*Inputs!$C$64,0)</f>
        <v>6159.92647058824</v>
      </c>
    </row>
    <row r="19" customFormat="false" ht="15" hidden="false" customHeight="false" outlineLevel="0" collapsed="false">
      <c r="A19" s="10" t="s">
        <v>210</v>
      </c>
      <c r="B19" s="39" t="s">
        <v>211</v>
      </c>
      <c r="C19" s="13" t="n">
        <f aca="false">(Inputs!$C$46+Inputs!$C$43*Inputs!$C$26)*Inputs!$C$6*Inputs!$C$64</f>
        <v>4265.74908088235</v>
      </c>
      <c r="D19" s="13" t="n">
        <f aca="false">(Inputs!$D$46+Inputs!$D$43*Inputs!$C$26)*Inputs!$C$6*Inputs!$C$64</f>
        <v>6914.51746323529</v>
      </c>
      <c r="E19" s="13" t="n">
        <f aca="false">(Inputs!$E$46+Inputs!$E$43*Inputs!$C$26)*Inputs!$C$6*Inputs!$C$64</f>
        <v>12535.4503676471</v>
      </c>
    </row>
    <row r="20" customFormat="false" ht="15" hidden="false" customHeight="false" outlineLevel="0" collapsed="false">
      <c r="A20" s="10" t="s">
        <v>212</v>
      </c>
      <c r="B20" s="39" t="s">
        <v>213</v>
      </c>
      <c r="C20" s="13" t="n">
        <f aca="false">Inputs!$C$63*Inputs!$C$47*Inputs!$C$7</f>
        <v>162.99</v>
      </c>
      <c r="D20" s="13" t="n">
        <f aca="false">Inputs!$C$63*Inputs!$D$47*Inputs!$C$7</f>
        <v>244.485</v>
      </c>
      <c r="E20" s="13" t="n">
        <f aca="false">Inputs!$C$63*Inputs!$E$47*Inputs!$C$7</f>
        <v>488.97</v>
      </c>
    </row>
    <row r="21" customFormat="false" ht="15" hidden="false" customHeight="false" outlineLevel="0" collapsed="false">
      <c r="A21" s="10" t="s">
        <v>161</v>
      </c>
      <c r="B21" s="39" t="s">
        <v>214</v>
      </c>
      <c r="C21" s="13" t="n">
        <f aca="false">Inputs!$C$53*Inputs!$C$64</f>
        <v>307.996323529412</v>
      </c>
      <c r="D21" s="13" t="n">
        <f aca="false">Inputs!$D$53*Inputs!$C$64</f>
        <v>821.323529411765</v>
      </c>
      <c r="E21" s="13" t="n">
        <f aca="false">Inputs!$E$53*Inputs!$C$64</f>
        <v>2053.30882352941</v>
      </c>
    </row>
    <row r="22" customFormat="false" ht="15" hidden="false" customHeight="false" outlineLevel="0" collapsed="false">
      <c r="A22" s="37" t="s">
        <v>215</v>
      </c>
      <c r="B22" s="38"/>
      <c r="C22" s="38"/>
      <c r="D22" s="38"/>
      <c r="E22" s="38"/>
    </row>
    <row r="23" customFormat="false" ht="15" hidden="false" customHeight="false" outlineLevel="0" collapsed="false">
      <c r="A23" s="10" t="s">
        <v>216</v>
      </c>
      <c r="B23" s="39" t="s">
        <v>217</v>
      </c>
      <c r="C23" s="13" t="n">
        <f aca="false">Inputs!$C$48*Inputs!$C$28*Inputs!$C$27*Inputs!$C$7*Inputs!$C$64</f>
        <v>2019.71669117647</v>
      </c>
      <c r="D23" s="13" t="n">
        <f aca="false">Inputs!$D$48*Inputs!$C$28*Inputs!$C$27*Inputs!$C$7*Inputs!$C$64</f>
        <v>3029.57503676471</v>
      </c>
      <c r="E23" s="13" t="n">
        <f aca="false">Inputs!$E$48*Inputs!$C$28*Inputs!$C$27*Inputs!$C$7*Inputs!$C$64</f>
        <v>6059.15007352941</v>
      </c>
    </row>
    <row r="24" customFormat="false" ht="15" hidden="false" customHeight="false" outlineLevel="0" collapsed="false">
      <c r="A24" s="10" t="s">
        <v>218</v>
      </c>
      <c r="B24" s="39" t="s">
        <v>217</v>
      </c>
      <c r="C24" s="13" t="n">
        <f aca="false">Inputs!$C$49*Inputs!$C$28*Inputs!$C$29*Inputs!$C$7*Inputs!$C$64</f>
        <v>862.389705882353</v>
      </c>
      <c r="D24" s="13" t="n">
        <f aca="false">Inputs!$D$49*Inputs!$C$28*Inputs!$C$29*Inputs!$C$7*Inputs!$C$64</f>
        <v>1724.77941176471</v>
      </c>
      <c r="E24" s="13" t="n">
        <f aca="false">Inputs!$E$49*Inputs!$C$28*Inputs!$C$29*Inputs!$C$7*Inputs!$C$64</f>
        <v>2587.16911764706</v>
      </c>
    </row>
    <row r="25" customFormat="false" ht="15" hidden="false" customHeight="false" outlineLevel="0" collapsed="false">
      <c r="A25" s="10" t="s">
        <v>219</v>
      </c>
      <c r="B25" s="39" t="s">
        <v>220</v>
      </c>
      <c r="C25" s="13" t="n">
        <f aca="false">Inputs!$C$51*Inputs!$C$30*Inputs!$C$6*Inputs!$C$64</f>
        <v>2771.96691176471</v>
      </c>
      <c r="D25" s="13" t="n">
        <f aca="false">Inputs!$D$51*Inputs!$C$30*Inputs!$C$6*Inputs!$C$64</f>
        <v>5543.93382352941</v>
      </c>
      <c r="E25" s="13" t="n">
        <f aca="false">Inputs!$E$51*Inputs!$C$30*Inputs!$C$6*Inputs!$C$64</f>
        <v>5543.93382352941</v>
      </c>
    </row>
    <row r="26" customFormat="false" ht="15" hidden="false" customHeight="false" outlineLevel="0" collapsed="false">
      <c r="A26" s="10" t="s">
        <v>221</v>
      </c>
      <c r="B26" s="39" t="s">
        <v>222</v>
      </c>
      <c r="C26" s="13" t="n">
        <f aca="false">Inputs!$C$50*Inputs!$C$32*Inputs!$C$6*Inputs!$C$64</f>
        <v>492.794117647059</v>
      </c>
      <c r="D26" s="13" t="n">
        <f aca="false">Inputs!$D$50*Inputs!$C$32*Inputs!$C$6*Inputs!$C$64</f>
        <v>985.588235294118</v>
      </c>
      <c r="E26" s="13" t="n">
        <f aca="false">Inputs!$E$50*Inputs!$C$32*Inputs!$C$6*Inputs!$C$64</f>
        <v>2155.97426470588</v>
      </c>
    </row>
    <row r="27" customFormat="false" ht="15" hidden="false" customHeight="false" outlineLevel="0" collapsed="false">
      <c r="A27" s="10" t="s">
        <v>223</v>
      </c>
      <c r="B27" s="39" t="s">
        <v>224</v>
      </c>
      <c r="C27" s="13" t="n">
        <f aca="false">Inputs!$C$39*Inputs!$C$31</f>
        <v>30</v>
      </c>
      <c r="D27" s="13" t="n">
        <f aca="false">Inputs!$D$39*Inputs!$C$31</f>
        <v>80</v>
      </c>
      <c r="E27" s="13" t="n">
        <f aca="false">Inputs!$E$39*Inputs!$C$31</f>
        <v>200</v>
      </c>
    </row>
    <row r="28" customFormat="false" ht="15" hidden="false" customHeight="false" outlineLevel="0" collapsed="false">
      <c r="A28" s="10" t="s">
        <v>225</v>
      </c>
      <c r="B28" s="39" t="s">
        <v>25</v>
      </c>
      <c r="C28" s="13" t="n">
        <f aca="false">Inputs!$C$52</f>
        <v>200</v>
      </c>
      <c r="D28" s="13" t="n">
        <f aca="false">Inputs!$D$52</f>
        <v>400</v>
      </c>
      <c r="E28" s="13" t="n">
        <f aca="false">Inputs!$E$52</f>
        <v>994</v>
      </c>
    </row>
    <row r="29" customFormat="false" ht="15" hidden="false" customHeight="false" outlineLevel="0" collapsed="false">
      <c r="A29" s="10" t="s">
        <v>162</v>
      </c>
      <c r="B29" s="39" t="s">
        <v>25</v>
      </c>
      <c r="C29" s="13" t="n">
        <f aca="false">Inputs!$C$54</f>
        <v>500</v>
      </c>
      <c r="D29" s="13" t="n">
        <f aca="false">Inputs!$D$54</f>
        <v>1000</v>
      </c>
      <c r="E29" s="13" t="n">
        <f aca="false">Inputs!$E$54</f>
        <v>2000</v>
      </c>
    </row>
    <row r="30" customFormat="false" ht="15" hidden="false" customHeight="false" outlineLevel="0" collapsed="false">
      <c r="A30" s="10" t="s">
        <v>163</v>
      </c>
      <c r="B30" s="39" t="s">
        <v>25</v>
      </c>
      <c r="C30" s="13" t="n">
        <f aca="false">Inputs!$C$55</f>
        <v>500</v>
      </c>
      <c r="D30" s="13" t="n">
        <f aca="false">Inputs!$D$55</f>
        <v>800</v>
      </c>
      <c r="E30" s="13" t="n">
        <f aca="false">Inputs!$E$55</f>
        <v>1500</v>
      </c>
    </row>
    <row r="31" customFormat="false" ht="15" hidden="false" customHeight="false" outlineLevel="0" collapsed="false">
      <c r="A31" s="37" t="s">
        <v>226</v>
      </c>
      <c r="B31" s="38"/>
      <c r="C31" s="38"/>
      <c r="D31" s="38"/>
      <c r="E31" s="38"/>
    </row>
    <row r="32" customFormat="false" ht="15" hidden="false" customHeight="false" outlineLevel="0" collapsed="false">
      <c r="A32" s="10" t="s">
        <v>227</v>
      </c>
      <c r="B32" s="39" t="s">
        <v>228</v>
      </c>
      <c r="C32" s="13" t="n">
        <f aca="false">Inputs!$C$36*(SUM(C10:C30))</f>
        <v>2898.06401002941</v>
      </c>
      <c r="D32" s="13" t="n">
        <f aca="false">Inputs!$C$36*(SUM(D10:D30))</f>
        <v>5589.42696858824</v>
      </c>
      <c r="E32" s="13" t="n">
        <f aca="false">Inputs!$C$36*(SUM(E10:E30))</f>
        <v>10660.7250852941</v>
      </c>
    </row>
    <row r="33" customFormat="false" ht="15" hidden="false" customHeight="false" outlineLevel="0" collapsed="false">
      <c r="A33" s="10" t="s">
        <v>229</v>
      </c>
      <c r="B33" s="39" t="s">
        <v>230</v>
      </c>
      <c r="C33" s="13" t="n">
        <f aca="false">C3*Inputs!$C$61+Inputs!$C$39*Inputs!$C$62</f>
        <v>1763.4375</v>
      </c>
      <c r="D33" s="13" t="n">
        <f aca="false">D3*Inputs!$C$61+Inputs!$D$39*Inputs!$C$62</f>
        <v>4702.5</v>
      </c>
      <c r="E33" s="13" t="n">
        <f aca="false">E3*Inputs!$C$61+Inputs!$E$39*Inputs!$C$62</f>
        <v>11756.25</v>
      </c>
    </row>
    <row r="34" customFormat="false" ht="15" hidden="false" customHeight="false" outlineLevel="0" collapsed="false">
      <c r="A34" s="10" t="s">
        <v>231</v>
      </c>
      <c r="B34" s="39" t="s">
        <v>230</v>
      </c>
      <c r="C34" s="13" t="n">
        <f aca="false">C3*Inputs!$C$33+Inputs!$C$39*Inputs!$C$34</f>
        <v>474.9375</v>
      </c>
      <c r="D34" s="13" t="n">
        <f aca="false">D3*Inputs!$C$33+Inputs!$D$39*Inputs!$C$34</f>
        <v>1266.5</v>
      </c>
      <c r="E34" s="13" t="n">
        <f aca="false">E3*Inputs!$C$33+Inputs!$E$39*Inputs!$C$34</f>
        <v>3166.25</v>
      </c>
    </row>
    <row r="35" customFormat="false" ht="15" hidden="false" customHeight="false" outlineLevel="0" collapsed="false">
      <c r="A35" s="10" t="s">
        <v>232</v>
      </c>
      <c r="B35" s="39" t="s">
        <v>233</v>
      </c>
      <c r="C35" s="13" t="n">
        <f aca="false">Inputs!$C$35*C8</f>
        <v>1208.1375</v>
      </c>
      <c r="D35" s="13" t="n">
        <f aca="false">Inputs!$C$35*D8</f>
        <v>3321.7</v>
      </c>
      <c r="E35" s="13" t="n">
        <f aca="false">Inputs!$C$35*E8</f>
        <v>8454.25</v>
      </c>
    </row>
    <row r="36" customFormat="false" ht="15" hidden="false" customHeight="false" outlineLevel="0" collapsed="false">
      <c r="A36" s="14" t="s">
        <v>28</v>
      </c>
      <c r="B36" s="39" t="s">
        <v>234</v>
      </c>
      <c r="C36" s="15" t="n">
        <f aca="false">SUM(C10:C30)+C32+C33+C34+C35</f>
        <v>35325.2166103235</v>
      </c>
      <c r="D36" s="15" t="n">
        <f aca="false">SUM(D10:D30)+D32+D33+D34+D35</f>
        <v>70774.3966544706</v>
      </c>
      <c r="E36" s="15" t="n">
        <f aca="false">SUM(E10:E30)+E32+E33+E34+E35</f>
        <v>140644.725938235</v>
      </c>
    </row>
    <row r="37" customFormat="false" ht="15" hidden="false" customHeight="false" outlineLevel="0" collapsed="false">
      <c r="A37" s="37" t="s">
        <v>29</v>
      </c>
      <c r="B37" s="38"/>
      <c r="C37" s="38"/>
      <c r="D37" s="38"/>
      <c r="E37" s="38"/>
    </row>
    <row r="38" customFormat="false" ht="15" hidden="false" customHeight="false" outlineLevel="0" collapsed="false">
      <c r="A38" s="14" t="s">
        <v>235</v>
      </c>
      <c r="B38" s="39"/>
      <c r="C38" s="15" t="n">
        <f aca="false">C8-C36</f>
        <v>-11162.4666103235</v>
      </c>
      <c r="D38" s="15" t="n">
        <f aca="false">D8-D36</f>
        <v>-4340.39665447059</v>
      </c>
      <c r="E38" s="15" t="n">
        <f aca="false">E8-E36</f>
        <v>28440.2740617647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41.75" hidden="false" customHeight="false" outlineLevel="0" collapsed="false">
      <c r="A1" s="9" t="s">
        <v>236</v>
      </c>
      <c r="B1" s="9" t="s">
        <v>237</v>
      </c>
      <c r="C1" s="9" t="s">
        <v>238</v>
      </c>
      <c r="D1" s="9" t="s">
        <v>239</v>
      </c>
      <c r="E1" s="9" t="s">
        <v>170</v>
      </c>
      <c r="F1" s="9" t="s">
        <v>240</v>
      </c>
      <c r="G1" s="9" t="s">
        <v>241</v>
      </c>
      <c r="H1" s="9" t="s">
        <v>242</v>
      </c>
      <c r="I1" s="9" t="s">
        <v>243</v>
      </c>
      <c r="J1" s="9" t="s">
        <v>244</v>
      </c>
    </row>
    <row r="2" customFormat="false" ht="15" hidden="false" customHeight="false" outlineLevel="0" collapsed="false">
      <c r="A2" s="22" t="s">
        <v>58</v>
      </c>
      <c r="B2" s="22" t="s">
        <v>245</v>
      </c>
      <c r="C2" s="28" t="n">
        <v>0.2</v>
      </c>
      <c r="D2" s="26" t="n">
        <v>0.13</v>
      </c>
      <c r="E2" s="28" t="n">
        <v>0.055</v>
      </c>
      <c r="F2" s="40" t="n">
        <v>0.99</v>
      </c>
      <c r="G2" s="40" t="n">
        <v>54.33</v>
      </c>
      <c r="H2" s="40" t="n">
        <v>111.7</v>
      </c>
      <c r="I2" s="24"/>
      <c r="J2" s="22" t="n">
        <v>0</v>
      </c>
    </row>
    <row r="3" customFormat="false" ht="15" hidden="false" customHeight="false" outlineLevel="0" collapsed="false">
      <c r="A3" s="22" t="s">
        <v>246</v>
      </c>
      <c r="B3" s="22" t="s">
        <v>247</v>
      </c>
      <c r="C3" s="28" t="n">
        <v>0.19</v>
      </c>
      <c r="D3" s="26" t="n">
        <v>0.07</v>
      </c>
      <c r="E3" s="28" t="n">
        <v>0.055</v>
      </c>
      <c r="F3" s="40" t="n">
        <v>0.99</v>
      </c>
      <c r="G3" s="40" t="n">
        <v>152</v>
      </c>
      <c r="H3" s="40" t="n">
        <v>108.8</v>
      </c>
      <c r="I3" s="24" t="n">
        <v>115</v>
      </c>
      <c r="J3" s="22" t="n">
        <v>14</v>
      </c>
    </row>
    <row r="4" customFormat="false" ht="15" hidden="false" customHeight="false" outlineLevel="0" collapsed="false">
      <c r="A4" s="22" t="s">
        <v>248</v>
      </c>
      <c r="B4" s="22" t="s">
        <v>249</v>
      </c>
      <c r="C4" s="28" t="n">
        <v>0.21</v>
      </c>
      <c r="D4" s="26" t="n">
        <v>0.1</v>
      </c>
      <c r="E4" s="28" t="n">
        <v>0.09</v>
      </c>
      <c r="F4" s="40" t="n">
        <v>0.19</v>
      </c>
      <c r="G4" s="40"/>
      <c r="H4" s="40" t="n">
        <v>91.3</v>
      </c>
      <c r="I4" s="24" t="n">
        <v>114.5</v>
      </c>
      <c r="J4" s="22" t="n">
        <v>26</v>
      </c>
    </row>
    <row r="5" customFormat="false" ht="15" hidden="false" customHeight="false" outlineLevel="0" collapsed="false">
      <c r="A5" s="22" t="s">
        <v>250</v>
      </c>
      <c r="B5" s="22" t="s">
        <v>251</v>
      </c>
      <c r="C5" s="28" t="n">
        <v>0.22</v>
      </c>
      <c r="D5" s="26" t="n">
        <v>0.1</v>
      </c>
      <c r="E5" s="28" t="n">
        <v>0.055</v>
      </c>
      <c r="F5" s="40" t="n">
        <v>0.99</v>
      </c>
      <c r="G5" s="40"/>
      <c r="H5" s="40" t="n">
        <v>97</v>
      </c>
      <c r="I5" s="24" t="n">
        <v>115</v>
      </c>
      <c r="J5" s="22" t="n">
        <v>9</v>
      </c>
    </row>
    <row r="6" customFormat="false" ht="15" hidden="false" customHeight="false" outlineLevel="0" collapsed="false">
      <c r="A6" s="22" t="s">
        <v>252</v>
      </c>
      <c r="B6" s="22" t="s">
        <v>253</v>
      </c>
      <c r="C6" s="28" t="n">
        <v>0.2</v>
      </c>
      <c r="D6" s="26" t="n">
        <v>0.055</v>
      </c>
      <c r="E6" s="28" t="n">
        <v>0.055</v>
      </c>
      <c r="F6" s="40" t="n">
        <v>0.99</v>
      </c>
      <c r="G6" s="40"/>
      <c r="H6" s="40" t="n">
        <v>111.2</v>
      </c>
      <c r="I6" s="24" t="n">
        <v>132.5</v>
      </c>
      <c r="J6" s="22" t="n">
        <v>6</v>
      </c>
    </row>
    <row r="7" customFormat="false" ht="15" hidden="false" customHeight="false" outlineLevel="0" collapsed="false">
      <c r="A7" s="22" t="s">
        <v>254</v>
      </c>
      <c r="B7" s="22" t="s">
        <v>255</v>
      </c>
      <c r="C7" s="28" t="n">
        <v>0.21</v>
      </c>
      <c r="D7" s="26" t="n">
        <v>0.09</v>
      </c>
      <c r="E7" s="28" t="n">
        <v>0.04</v>
      </c>
      <c r="F7" s="40" t="n">
        <v>0.99</v>
      </c>
      <c r="G7" s="40"/>
      <c r="H7" s="40" t="n">
        <v>115.1</v>
      </c>
      <c r="I7" s="24"/>
      <c r="J7" s="22" t="n">
        <v>3</v>
      </c>
    </row>
    <row r="8" customFormat="false" ht="15" hidden="false" customHeight="false" outlineLevel="0" collapsed="false">
      <c r="A8" s="22" t="s">
        <v>256</v>
      </c>
      <c r="B8" s="22" t="s">
        <v>257</v>
      </c>
      <c r="C8" s="28" t="n">
        <v>0.23</v>
      </c>
      <c r="D8" s="26" t="n">
        <v>0.08</v>
      </c>
      <c r="E8" s="28" t="n">
        <v>0.025</v>
      </c>
      <c r="F8" s="40" t="n">
        <v>1.37</v>
      </c>
      <c r="G8" s="40"/>
      <c r="H8" s="40" t="n">
        <v>72.3</v>
      </c>
      <c r="I8" s="24" t="n">
        <v>130.4</v>
      </c>
      <c r="J8" s="22" t="n">
        <v>6</v>
      </c>
    </row>
    <row r="9" customFormat="false" ht="15" hidden="false" customHeight="false" outlineLevel="0" collapsed="false">
      <c r="A9" s="22" t="s">
        <v>258</v>
      </c>
      <c r="B9" s="22" t="s">
        <v>259</v>
      </c>
      <c r="C9" s="28" t="n">
        <v>0.21</v>
      </c>
      <c r="D9" s="26" t="n">
        <v>0.12</v>
      </c>
      <c r="E9" s="28" t="n">
        <v>0.025</v>
      </c>
      <c r="F9" s="40" t="n">
        <v>0.78</v>
      </c>
      <c r="G9" s="40"/>
      <c r="H9" s="40" t="n">
        <v>88.5</v>
      </c>
      <c r="I9" s="24"/>
      <c r="J9" s="22" t="n">
        <v>2</v>
      </c>
    </row>
    <row r="10" customFormat="false" ht="15" hidden="false" customHeight="false" outlineLevel="0" collapsed="false">
      <c r="A10" s="22" t="s">
        <v>260</v>
      </c>
      <c r="B10" s="22" t="s">
        <v>261</v>
      </c>
      <c r="C10" s="28" t="n">
        <v>0.2</v>
      </c>
      <c r="D10" s="26" t="n">
        <v>0.2</v>
      </c>
      <c r="E10" s="28" t="n">
        <v>0.0695</v>
      </c>
      <c r="F10" s="40" t="n">
        <v>0.7</v>
      </c>
      <c r="G10" s="40"/>
      <c r="H10" s="40" t="n">
        <v>125.1</v>
      </c>
      <c r="I10" s="24"/>
      <c r="J10" s="22" t="n">
        <v>2</v>
      </c>
    </row>
    <row r="12" customFormat="false" ht="15" hidden="false" customHeight="false" outlineLevel="0" collapsed="false">
      <c r="A12" s="39" t="s">
        <v>262</v>
      </c>
    </row>
    <row r="13" customFormat="false" ht="15" hidden="false" customHeight="false" outlineLevel="0" collapsed="false">
      <c r="A13" s="39" t="s">
        <v>263</v>
      </c>
    </row>
    <row r="14" customFormat="false" ht="15" hidden="false" customHeight="false" outlineLevel="0" collapsed="false">
      <c r="A14" s="39" t="s">
        <v>264</v>
      </c>
    </row>
    <row r="15" customFormat="false" ht="15" hidden="false" customHeight="false" outlineLevel="0" collapsed="false">
      <c r="A15" s="39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70"/>
  </cols>
  <sheetData>
    <row r="1" customFormat="false" ht="28.35" hidden="false" customHeight="false" outlineLevel="0" collapsed="false">
      <c r="A1" s="9" t="s">
        <v>266</v>
      </c>
      <c r="B1" s="9" t="s">
        <v>267</v>
      </c>
      <c r="C1" s="9" t="s">
        <v>268</v>
      </c>
      <c r="D1" s="9" t="s">
        <v>54</v>
      </c>
    </row>
    <row r="2" customFormat="false" ht="15" hidden="false" customHeight="false" outlineLevel="0" collapsed="false">
      <c r="A2" s="0" t="s">
        <v>269</v>
      </c>
      <c r="B2" s="0" t="n">
        <v>85</v>
      </c>
      <c r="C2" s="41" t="n">
        <v>110</v>
      </c>
      <c r="D2" s="11" t="s">
        <v>270</v>
      </c>
    </row>
    <row r="3" customFormat="false" ht="15" hidden="false" customHeight="false" outlineLevel="0" collapsed="false">
      <c r="A3" s="0" t="s">
        <v>271</v>
      </c>
      <c r="B3" s="0" t="n">
        <v>6</v>
      </c>
      <c r="C3" s="41" t="n">
        <v>87.5</v>
      </c>
      <c r="D3" s="11" t="s">
        <v>272</v>
      </c>
    </row>
    <row r="4" customFormat="false" ht="15" hidden="false" customHeight="false" outlineLevel="0" collapsed="false">
      <c r="A4" s="0" t="s">
        <v>273</v>
      </c>
      <c r="B4" s="0" t="n">
        <v>42</v>
      </c>
      <c r="C4" s="41" t="n">
        <v>105</v>
      </c>
      <c r="D4" s="11" t="s">
        <v>272</v>
      </c>
    </row>
    <row r="5" customFormat="false" ht="15" hidden="false" customHeight="false" outlineLevel="0" collapsed="false">
      <c r="A5" s="0" t="s">
        <v>274</v>
      </c>
      <c r="B5" s="0" t="n">
        <v>40</v>
      </c>
      <c r="C5" s="41" t="n">
        <v>115</v>
      </c>
      <c r="D5" s="11" t="s">
        <v>272</v>
      </c>
    </row>
    <row r="6" customFormat="false" ht="15" hidden="false" customHeight="false" outlineLevel="0" collapsed="false">
      <c r="A6" s="0" t="s">
        <v>275</v>
      </c>
      <c r="B6" s="0" t="n">
        <v>26</v>
      </c>
      <c r="C6" s="41" t="n">
        <v>114.5</v>
      </c>
    </row>
    <row r="7" customFormat="false" ht="15" hidden="false" customHeight="false" outlineLevel="0" collapsed="false">
      <c r="A7" s="0" t="s">
        <v>276</v>
      </c>
      <c r="B7" s="0" t="n">
        <v>14</v>
      </c>
      <c r="C7" s="41" t="n">
        <v>115</v>
      </c>
    </row>
    <row r="8" customFormat="false" ht="15" hidden="false" customHeight="false" outlineLevel="0" collapsed="false">
      <c r="A8" s="0" t="s">
        <v>277</v>
      </c>
      <c r="B8" s="0" t="n">
        <v>9</v>
      </c>
      <c r="C8" s="41" t="n">
        <v>115</v>
      </c>
    </row>
    <row r="9" customFormat="false" ht="15" hidden="false" customHeight="false" outlineLevel="0" collapsed="false">
      <c r="A9" s="0" t="s">
        <v>278</v>
      </c>
      <c r="B9" s="0" t="n">
        <v>6</v>
      </c>
      <c r="C9" s="41" t="n">
        <v>130.4</v>
      </c>
    </row>
    <row r="10" customFormat="false" ht="15" hidden="false" customHeight="false" outlineLevel="0" collapsed="false">
      <c r="A10" s="0" t="s">
        <v>279</v>
      </c>
      <c r="B10" s="0" t="n">
        <v>6</v>
      </c>
      <c r="C10" s="41" t="n">
        <v>132.5</v>
      </c>
    </row>
    <row r="11" customFormat="false" ht="15" hidden="false" customHeight="false" outlineLevel="0" collapsed="false">
      <c r="A11" s="0" t="s">
        <v>81</v>
      </c>
      <c r="B11" s="0" t="n">
        <v>14</v>
      </c>
      <c r="C11" s="41" t="n">
        <v>65</v>
      </c>
      <c r="D11" s="11" t="s">
        <v>280</v>
      </c>
    </row>
    <row r="13" customFormat="false" ht="15" hidden="false" customHeight="false" outlineLevel="0" collapsed="false">
      <c r="A13" s="0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30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28"/>
    <col collapsed="false" customWidth="true" hidden="false" outlineLevel="0" max="10" min="10" style="0" width="50"/>
    <col collapsed="false" customWidth="true" hidden="false" outlineLevel="0" max="11" min="11" style="0" width="70"/>
  </cols>
  <sheetData>
    <row r="1" customFormat="false" ht="28.35" hidden="false" customHeight="false" outlineLevel="0" collapsed="false">
      <c r="A1" s="9" t="s">
        <v>282</v>
      </c>
      <c r="B1" s="9" t="s">
        <v>237</v>
      </c>
      <c r="C1" s="9" t="s">
        <v>283</v>
      </c>
      <c r="D1" s="9" t="s">
        <v>284</v>
      </c>
      <c r="E1" s="9" t="s">
        <v>285</v>
      </c>
      <c r="F1" s="9" t="s">
        <v>52</v>
      </c>
      <c r="G1" s="9" t="s">
        <v>286</v>
      </c>
      <c r="H1" s="9" t="s">
        <v>287</v>
      </c>
      <c r="I1" s="9" t="s">
        <v>288</v>
      </c>
      <c r="J1" s="9" t="s">
        <v>289</v>
      </c>
      <c r="K1" s="9" t="s">
        <v>290</v>
      </c>
    </row>
    <row r="2" customFormat="false" ht="15" hidden="false" customHeight="false" outlineLevel="0" collapsed="false">
      <c r="A2" s="0" t="s">
        <v>291</v>
      </c>
      <c r="B2" s="0" t="s">
        <v>58</v>
      </c>
      <c r="C2" s="0" t="n">
        <v>20</v>
      </c>
      <c r="F2" s="0" t="s">
        <v>292</v>
      </c>
      <c r="G2" s="0" t="s">
        <v>293</v>
      </c>
      <c r="H2" s="0" t="s">
        <v>294</v>
      </c>
      <c r="I2" s="0" t="s">
        <v>295</v>
      </c>
      <c r="J2" s="0" t="s">
        <v>296</v>
      </c>
      <c r="K2" s="0" t="s">
        <v>297</v>
      </c>
    </row>
    <row r="3" customFormat="false" ht="15" hidden="false" customHeight="false" outlineLevel="0" collapsed="false">
      <c r="A3" s="0" t="s">
        <v>291</v>
      </c>
      <c r="B3" s="0" t="s">
        <v>246</v>
      </c>
      <c r="C3" s="0" t="n">
        <v>19</v>
      </c>
      <c r="F3" s="0" t="s">
        <v>292</v>
      </c>
      <c r="G3" s="0" t="s">
        <v>293</v>
      </c>
      <c r="H3" s="0" t="s">
        <v>294</v>
      </c>
      <c r="I3" s="0" t="s">
        <v>295</v>
      </c>
      <c r="J3" s="0" t="s">
        <v>296</v>
      </c>
      <c r="K3" s="0" t="s">
        <v>297</v>
      </c>
    </row>
    <row r="4" customFormat="false" ht="15" hidden="false" customHeight="false" outlineLevel="0" collapsed="false">
      <c r="A4" s="0" t="s">
        <v>291</v>
      </c>
      <c r="B4" s="0" t="s">
        <v>248</v>
      </c>
      <c r="C4" s="0" t="n">
        <v>21</v>
      </c>
      <c r="F4" s="0" t="s">
        <v>292</v>
      </c>
      <c r="G4" s="0" t="s">
        <v>293</v>
      </c>
      <c r="H4" s="0" t="s">
        <v>294</v>
      </c>
      <c r="I4" s="0" t="s">
        <v>295</v>
      </c>
      <c r="J4" s="0" t="s">
        <v>296</v>
      </c>
      <c r="K4" s="0" t="s">
        <v>297</v>
      </c>
    </row>
    <row r="5" customFormat="false" ht="15" hidden="false" customHeight="false" outlineLevel="0" collapsed="false">
      <c r="A5" s="0" t="s">
        <v>291</v>
      </c>
      <c r="B5" s="0" t="s">
        <v>250</v>
      </c>
      <c r="C5" s="0" t="n">
        <v>22</v>
      </c>
      <c r="F5" s="0" t="s">
        <v>292</v>
      </c>
      <c r="G5" s="0" t="s">
        <v>293</v>
      </c>
      <c r="H5" s="0" t="s">
        <v>294</v>
      </c>
      <c r="I5" s="0" t="s">
        <v>295</v>
      </c>
      <c r="J5" s="0" t="s">
        <v>296</v>
      </c>
      <c r="K5" s="0" t="s">
        <v>297</v>
      </c>
    </row>
    <row r="6" customFormat="false" ht="15" hidden="false" customHeight="false" outlineLevel="0" collapsed="false">
      <c r="A6" s="0" t="s">
        <v>291</v>
      </c>
      <c r="B6" s="0" t="s">
        <v>252</v>
      </c>
      <c r="C6" s="0" t="n">
        <v>20</v>
      </c>
      <c r="F6" s="0" t="s">
        <v>292</v>
      </c>
      <c r="G6" s="0" t="s">
        <v>293</v>
      </c>
      <c r="H6" s="0" t="s">
        <v>294</v>
      </c>
      <c r="I6" s="0" t="s">
        <v>295</v>
      </c>
      <c r="J6" s="0" t="s">
        <v>296</v>
      </c>
      <c r="K6" s="0" t="s">
        <v>297</v>
      </c>
    </row>
    <row r="7" customFormat="false" ht="15" hidden="false" customHeight="false" outlineLevel="0" collapsed="false">
      <c r="A7" s="0" t="s">
        <v>291</v>
      </c>
      <c r="B7" s="0" t="s">
        <v>254</v>
      </c>
      <c r="C7" s="0" t="n">
        <v>21</v>
      </c>
      <c r="F7" s="0" t="s">
        <v>292</v>
      </c>
      <c r="G7" s="0" t="s">
        <v>293</v>
      </c>
      <c r="H7" s="0" t="s">
        <v>294</v>
      </c>
      <c r="I7" s="0" t="s">
        <v>295</v>
      </c>
      <c r="J7" s="0" t="s">
        <v>296</v>
      </c>
      <c r="K7" s="0" t="s">
        <v>297</v>
      </c>
    </row>
    <row r="8" customFormat="false" ht="15" hidden="false" customHeight="false" outlineLevel="0" collapsed="false">
      <c r="A8" s="0" t="s">
        <v>291</v>
      </c>
      <c r="B8" s="0" t="s">
        <v>256</v>
      </c>
      <c r="C8" s="0" t="n">
        <v>23</v>
      </c>
      <c r="F8" s="0" t="s">
        <v>292</v>
      </c>
      <c r="G8" s="0" t="s">
        <v>293</v>
      </c>
      <c r="H8" s="0" t="s">
        <v>294</v>
      </c>
      <c r="I8" s="0" t="s">
        <v>295</v>
      </c>
      <c r="J8" s="0" t="s">
        <v>296</v>
      </c>
      <c r="K8" s="0" t="s">
        <v>297</v>
      </c>
    </row>
    <row r="9" customFormat="false" ht="15" hidden="false" customHeight="false" outlineLevel="0" collapsed="false">
      <c r="A9" s="0" t="s">
        <v>291</v>
      </c>
      <c r="B9" s="0" t="s">
        <v>258</v>
      </c>
      <c r="C9" s="0" t="n">
        <v>21</v>
      </c>
      <c r="F9" s="0" t="s">
        <v>292</v>
      </c>
      <c r="G9" s="0" t="s">
        <v>293</v>
      </c>
      <c r="H9" s="0" t="s">
        <v>294</v>
      </c>
      <c r="I9" s="0" t="s">
        <v>295</v>
      </c>
      <c r="J9" s="0" t="s">
        <v>296</v>
      </c>
      <c r="K9" s="0" t="s">
        <v>297</v>
      </c>
    </row>
    <row r="10" customFormat="false" ht="15" hidden="false" customHeight="false" outlineLevel="0" collapsed="false">
      <c r="A10" s="0" t="s">
        <v>291</v>
      </c>
      <c r="B10" s="0" t="s">
        <v>260</v>
      </c>
      <c r="C10" s="0" t="n">
        <v>20</v>
      </c>
      <c r="F10" s="0" t="s">
        <v>292</v>
      </c>
      <c r="G10" s="0" t="s">
        <v>293</v>
      </c>
      <c r="H10" s="0" t="s">
        <v>294</v>
      </c>
      <c r="I10" s="0" t="s">
        <v>295</v>
      </c>
      <c r="J10" s="0" t="s">
        <v>296</v>
      </c>
      <c r="K10" s="0" t="s">
        <v>297</v>
      </c>
    </row>
    <row r="11" customFormat="false" ht="15" hidden="false" customHeight="false" outlineLevel="0" collapsed="false">
      <c r="A11" s="0" t="s">
        <v>298</v>
      </c>
      <c r="B11" s="0" t="s">
        <v>58</v>
      </c>
      <c r="C11" s="0" t="n">
        <v>5.5</v>
      </c>
      <c r="F11" s="0" t="s">
        <v>299</v>
      </c>
      <c r="G11" s="0" t="s">
        <v>66</v>
      </c>
      <c r="H11" s="0" t="s">
        <v>294</v>
      </c>
      <c r="I11" s="0" t="s">
        <v>300</v>
      </c>
      <c r="J11" s="0" t="s">
        <v>301</v>
      </c>
      <c r="K11" s="0" t="s">
        <v>302</v>
      </c>
    </row>
    <row r="12" customFormat="false" ht="15" hidden="false" customHeight="false" outlineLevel="0" collapsed="false">
      <c r="A12" s="0" t="s">
        <v>298</v>
      </c>
      <c r="B12" s="0" t="s">
        <v>58</v>
      </c>
      <c r="C12" s="0" t="n">
        <v>0.99</v>
      </c>
      <c r="F12" s="0" t="s">
        <v>303</v>
      </c>
      <c r="G12" s="0" t="s">
        <v>66</v>
      </c>
      <c r="H12" s="0" t="s">
        <v>294</v>
      </c>
      <c r="I12" s="0" t="s">
        <v>300</v>
      </c>
      <c r="J12" s="0" t="s">
        <v>301</v>
      </c>
      <c r="K12" s="0" t="s">
        <v>304</v>
      </c>
    </row>
    <row r="13" customFormat="false" ht="15" hidden="false" customHeight="false" outlineLevel="0" collapsed="false">
      <c r="A13" s="0" t="s">
        <v>298</v>
      </c>
      <c r="B13" s="0" t="s">
        <v>246</v>
      </c>
      <c r="C13" s="0" t="n">
        <v>5.5</v>
      </c>
      <c r="F13" s="0" t="s">
        <v>299</v>
      </c>
      <c r="G13" s="0" t="s">
        <v>66</v>
      </c>
      <c r="H13" s="0" t="s">
        <v>294</v>
      </c>
      <c r="I13" s="0" t="s">
        <v>300</v>
      </c>
      <c r="J13" s="0" t="s">
        <v>301</v>
      </c>
      <c r="K13" s="0" t="s">
        <v>302</v>
      </c>
    </row>
    <row r="14" customFormat="false" ht="15" hidden="false" customHeight="false" outlineLevel="0" collapsed="false">
      <c r="A14" s="0" t="s">
        <v>298</v>
      </c>
      <c r="B14" s="0" t="s">
        <v>246</v>
      </c>
      <c r="C14" s="0" t="n">
        <v>0.99</v>
      </c>
      <c r="F14" s="0" t="s">
        <v>303</v>
      </c>
      <c r="G14" s="0" t="s">
        <v>66</v>
      </c>
      <c r="H14" s="0" t="s">
        <v>294</v>
      </c>
      <c r="I14" s="0" t="s">
        <v>300</v>
      </c>
      <c r="J14" s="0" t="s">
        <v>301</v>
      </c>
      <c r="K14" s="0" t="s">
        <v>304</v>
      </c>
    </row>
    <row r="15" customFormat="false" ht="15" hidden="false" customHeight="false" outlineLevel="0" collapsed="false">
      <c r="A15" s="0" t="s">
        <v>298</v>
      </c>
      <c r="B15" s="0" t="s">
        <v>248</v>
      </c>
      <c r="C15" s="0" t="n">
        <v>9</v>
      </c>
      <c r="F15" s="0" t="s">
        <v>299</v>
      </c>
      <c r="G15" s="0" t="s">
        <v>66</v>
      </c>
      <c r="H15" s="0" t="s">
        <v>294</v>
      </c>
      <c r="I15" s="0" t="s">
        <v>300</v>
      </c>
      <c r="J15" s="0" t="s">
        <v>301</v>
      </c>
      <c r="K15" s="0" t="s">
        <v>302</v>
      </c>
    </row>
    <row r="16" customFormat="false" ht="15" hidden="false" customHeight="false" outlineLevel="0" collapsed="false">
      <c r="A16" s="0" t="s">
        <v>298</v>
      </c>
      <c r="B16" s="0" t="s">
        <v>248</v>
      </c>
      <c r="C16" s="0" t="n">
        <v>0.19</v>
      </c>
      <c r="F16" s="0" t="s">
        <v>303</v>
      </c>
      <c r="G16" s="0" t="s">
        <v>66</v>
      </c>
      <c r="H16" s="0" t="s">
        <v>294</v>
      </c>
      <c r="I16" s="0" t="s">
        <v>300</v>
      </c>
      <c r="J16" s="0" t="s">
        <v>301</v>
      </c>
      <c r="K16" s="0" t="s">
        <v>304</v>
      </c>
    </row>
    <row r="17" customFormat="false" ht="15" hidden="false" customHeight="false" outlineLevel="0" collapsed="false">
      <c r="A17" s="0" t="s">
        <v>298</v>
      </c>
      <c r="B17" s="0" t="s">
        <v>250</v>
      </c>
      <c r="C17" s="0" t="n">
        <v>5.5</v>
      </c>
      <c r="F17" s="0" t="s">
        <v>299</v>
      </c>
      <c r="G17" s="0" t="s">
        <v>66</v>
      </c>
      <c r="H17" s="0" t="s">
        <v>294</v>
      </c>
      <c r="I17" s="0" t="s">
        <v>300</v>
      </c>
      <c r="J17" s="0" t="s">
        <v>301</v>
      </c>
      <c r="K17" s="0" t="s">
        <v>302</v>
      </c>
    </row>
    <row r="18" customFormat="false" ht="15" hidden="false" customHeight="false" outlineLevel="0" collapsed="false">
      <c r="A18" s="0" t="s">
        <v>298</v>
      </c>
      <c r="B18" s="0" t="s">
        <v>250</v>
      </c>
      <c r="C18" s="0" t="n">
        <v>0.99</v>
      </c>
      <c r="F18" s="0" t="s">
        <v>303</v>
      </c>
      <c r="G18" s="0" t="s">
        <v>66</v>
      </c>
      <c r="H18" s="0" t="s">
        <v>294</v>
      </c>
      <c r="I18" s="0" t="s">
        <v>300</v>
      </c>
      <c r="J18" s="0" t="s">
        <v>301</v>
      </c>
      <c r="K18" s="0" t="s">
        <v>304</v>
      </c>
    </row>
    <row r="19" customFormat="false" ht="15" hidden="false" customHeight="false" outlineLevel="0" collapsed="false">
      <c r="A19" s="0" t="s">
        <v>298</v>
      </c>
      <c r="B19" s="0" t="s">
        <v>252</v>
      </c>
      <c r="C19" s="0" t="n">
        <v>5.5</v>
      </c>
      <c r="F19" s="0" t="s">
        <v>299</v>
      </c>
      <c r="G19" s="0" t="s">
        <v>66</v>
      </c>
      <c r="H19" s="0" t="s">
        <v>294</v>
      </c>
      <c r="I19" s="0" t="s">
        <v>300</v>
      </c>
      <c r="J19" s="0" t="s">
        <v>301</v>
      </c>
      <c r="K19" s="0" t="s">
        <v>302</v>
      </c>
    </row>
    <row r="20" customFormat="false" ht="15" hidden="false" customHeight="false" outlineLevel="0" collapsed="false">
      <c r="A20" s="0" t="s">
        <v>298</v>
      </c>
      <c r="B20" s="0" t="s">
        <v>252</v>
      </c>
      <c r="C20" s="0" t="n">
        <v>0.99</v>
      </c>
      <c r="F20" s="0" t="s">
        <v>303</v>
      </c>
      <c r="G20" s="0" t="s">
        <v>66</v>
      </c>
      <c r="H20" s="0" t="s">
        <v>294</v>
      </c>
      <c r="I20" s="0" t="s">
        <v>300</v>
      </c>
      <c r="J20" s="0" t="s">
        <v>301</v>
      </c>
      <c r="K20" s="0" t="s">
        <v>304</v>
      </c>
    </row>
    <row r="21" customFormat="false" ht="15" hidden="false" customHeight="false" outlineLevel="0" collapsed="false">
      <c r="A21" s="0" t="s">
        <v>298</v>
      </c>
      <c r="B21" s="0" t="s">
        <v>254</v>
      </c>
      <c r="C21" s="0" t="n">
        <v>4</v>
      </c>
      <c r="F21" s="0" t="s">
        <v>299</v>
      </c>
      <c r="G21" s="0" t="s">
        <v>66</v>
      </c>
      <c r="H21" s="0" t="s">
        <v>294</v>
      </c>
      <c r="I21" s="0" t="s">
        <v>300</v>
      </c>
      <c r="J21" s="0" t="s">
        <v>301</v>
      </c>
      <c r="K21" s="0" t="s">
        <v>302</v>
      </c>
    </row>
    <row r="22" customFormat="false" ht="15" hidden="false" customHeight="false" outlineLevel="0" collapsed="false">
      <c r="A22" s="0" t="s">
        <v>298</v>
      </c>
      <c r="B22" s="0" t="s">
        <v>254</v>
      </c>
      <c r="C22" s="0" t="n">
        <v>0.99</v>
      </c>
      <c r="F22" s="0" t="s">
        <v>303</v>
      </c>
      <c r="G22" s="0" t="s">
        <v>66</v>
      </c>
      <c r="H22" s="0" t="s">
        <v>294</v>
      </c>
      <c r="I22" s="0" t="s">
        <v>300</v>
      </c>
      <c r="J22" s="0" t="s">
        <v>301</v>
      </c>
      <c r="K22" s="0" t="s">
        <v>304</v>
      </c>
    </row>
    <row r="23" customFormat="false" ht="15" hidden="false" customHeight="false" outlineLevel="0" collapsed="false">
      <c r="A23" s="0" t="s">
        <v>298</v>
      </c>
      <c r="B23" s="0" t="s">
        <v>256</v>
      </c>
      <c r="C23" s="0" t="n">
        <v>2.5</v>
      </c>
      <c r="F23" s="0" t="s">
        <v>299</v>
      </c>
      <c r="G23" s="0" t="s">
        <v>66</v>
      </c>
      <c r="H23" s="0" t="s">
        <v>294</v>
      </c>
      <c r="I23" s="0" t="s">
        <v>300</v>
      </c>
      <c r="J23" s="0" t="s">
        <v>301</v>
      </c>
      <c r="K23" s="0" t="s">
        <v>302</v>
      </c>
    </row>
    <row r="24" customFormat="false" ht="15" hidden="false" customHeight="false" outlineLevel="0" collapsed="false">
      <c r="A24" s="0" t="s">
        <v>298</v>
      </c>
      <c r="B24" s="0" t="s">
        <v>256</v>
      </c>
      <c r="C24" s="0" t="n">
        <v>1.37</v>
      </c>
      <c r="F24" s="0" t="s">
        <v>303</v>
      </c>
      <c r="G24" s="0" t="s">
        <v>66</v>
      </c>
      <c r="H24" s="0" t="s">
        <v>294</v>
      </c>
      <c r="I24" s="0" t="s">
        <v>300</v>
      </c>
      <c r="J24" s="0" t="s">
        <v>301</v>
      </c>
      <c r="K24" s="0" t="s">
        <v>305</v>
      </c>
    </row>
    <row r="25" customFormat="false" ht="15" hidden="false" customHeight="false" outlineLevel="0" collapsed="false">
      <c r="A25" s="0" t="s">
        <v>298</v>
      </c>
      <c r="B25" s="0" t="s">
        <v>258</v>
      </c>
      <c r="C25" s="0" t="n">
        <v>2.5</v>
      </c>
      <c r="F25" s="0" t="s">
        <v>299</v>
      </c>
      <c r="G25" s="0" t="s">
        <v>66</v>
      </c>
      <c r="H25" s="0" t="s">
        <v>294</v>
      </c>
      <c r="I25" s="0" t="s">
        <v>300</v>
      </c>
      <c r="J25" s="0" t="s">
        <v>301</v>
      </c>
      <c r="K25" s="0" t="s">
        <v>302</v>
      </c>
    </row>
    <row r="26" customFormat="false" ht="15" hidden="false" customHeight="false" outlineLevel="0" collapsed="false">
      <c r="A26" s="0" t="s">
        <v>298</v>
      </c>
      <c r="B26" s="0" t="s">
        <v>258</v>
      </c>
      <c r="C26" s="0" t="n">
        <v>0.78</v>
      </c>
      <c r="F26" s="0" t="s">
        <v>303</v>
      </c>
      <c r="G26" s="0" t="s">
        <v>66</v>
      </c>
      <c r="H26" s="0" t="s">
        <v>294</v>
      </c>
      <c r="I26" s="0" t="s">
        <v>300</v>
      </c>
      <c r="J26" s="0" t="s">
        <v>301</v>
      </c>
      <c r="K26" s="0" t="s">
        <v>305</v>
      </c>
    </row>
    <row r="27" customFormat="false" ht="15" hidden="false" customHeight="false" outlineLevel="0" collapsed="false">
      <c r="A27" s="0" t="s">
        <v>298</v>
      </c>
      <c r="B27" s="0" t="s">
        <v>260</v>
      </c>
      <c r="C27" s="0" t="n">
        <v>6.95</v>
      </c>
      <c r="F27" s="0" t="s">
        <v>299</v>
      </c>
      <c r="G27" s="0" t="s">
        <v>66</v>
      </c>
      <c r="H27" s="0" t="s">
        <v>294</v>
      </c>
      <c r="I27" s="0" t="s">
        <v>300</v>
      </c>
      <c r="J27" s="0" t="s">
        <v>301</v>
      </c>
      <c r="K27" s="0" t="s">
        <v>302</v>
      </c>
    </row>
    <row r="28" customFormat="false" ht="15" hidden="false" customHeight="false" outlineLevel="0" collapsed="false">
      <c r="A28" s="0" t="s">
        <v>298</v>
      </c>
      <c r="B28" s="0" t="s">
        <v>260</v>
      </c>
      <c r="C28" s="0" t="n">
        <v>0.7</v>
      </c>
      <c r="F28" s="0" t="s">
        <v>303</v>
      </c>
      <c r="G28" s="0" t="s">
        <v>66</v>
      </c>
      <c r="H28" s="0" t="s">
        <v>294</v>
      </c>
      <c r="I28" s="0" t="s">
        <v>300</v>
      </c>
      <c r="J28" s="0" t="s">
        <v>301</v>
      </c>
      <c r="K28" s="0" t="s">
        <v>305</v>
      </c>
    </row>
    <row r="29" customFormat="false" ht="15" hidden="false" customHeight="false" outlineLevel="0" collapsed="false">
      <c r="A29" s="0" t="s">
        <v>306</v>
      </c>
      <c r="B29" s="0" t="s">
        <v>246</v>
      </c>
      <c r="C29" s="0" t="n">
        <v>1.5</v>
      </c>
      <c r="F29" s="0" t="s">
        <v>307</v>
      </c>
      <c r="G29" s="0" t="s">
        <v>63</v>
      </c>
      <c r="H29" s="0" t="s">
        <v>294</v>
      </c>
      <c r="I29" s="0" t="s">
        <v>308</v>
      </c>
      <c r="J29" s="0" t="s">
        <v>309</v>
      </c>
      <c r="K29" s="0" t="s">
        <v>310</v>
      </c>
    </row>
    <row r="30" customFormat="false" ht="15" hidden="false" customHeight="false" outlineLevel="0" collapsed="false">
      <c r="A30" s="0" t="s">
        <v>306</v>
      </c>
      <c r="B30" s="0" t="s">
        <v>246</v>
      </c>
      <c r="C30" s="0" t="n">
        <v>0.25</v>
      </c>
      <c r="F30" s="0" t="s">
        <v>311</v>
      </c>
      <c r="G30" s="0" t="s">
        <v>63</v>
      </c>
      <c r="H30" s="0" t="s">
        <v>294</v>
      </c>
      <c r="I30" s="0" t="s">
        <v>308</v>
      </c>
      <c r="J30" s="0" t="s">
        <v>309</v>
      </c>
      <c r="K30" s="0" t="s">
        <v>312</v>
      </c>
    </row>
    <row r="31" customFormat="false" ht="15" hidden="false" customHeight="false" outlineLevel="0" collapsed="false">
      <c r="A31" s="0" t="s">
        <v>306</v>
      </c>
      <c r="B31" s="0" t="s">
        <v>250</v>
      </c>
      <c r="C31" s="0" t="n">
        <v>2.99</v>
      </c>
      <c r="F31" s="0" t="s">
        <v>307</v>
      </c>
      <c r="G31" s="0" t="s">
        <v>63</v>
      </c>
      <c r="H31" s="0" t="s">
        <v>294</v>
      </c>
      <c r="I31" s="0" t="s">
        <v>313</v>
      </c>
      <c r="J31" s="0" t="s">
        <v>314</v>
      </c>
      <c r="K31" s="0" t="s">
        <v>310</v>
      </c>
    </row>
    <row r="32" customFormat="false" ht="15" hidden="false" customHeight="false" outlineLevel="0" collapsed="false">
      <c r="A32" s="0" t="s">
        <v>306</v>
      </c>
      <c r="B32" s="0" t="s">
        <v>250</v>
      </c>
      <c r="C32" s="0" t="n">
        <v>0.35</v>
      </c>
      <c r="F32" s="0" t="s">
        <v>311</v>
      </c>
      <c r="G32" s="0" t="s">
        <v>63</v>
      </c>
      <c r="H32" s="0" t="s">
        <v>294</v>
      </c>
      <c r="I32" s="0" t="s">
        <v>313</v>
      </c>
      <c r="J32" s="0" t="s">
        <v>314</v>
      </c>
      <c r="K32" s="0" t="s">
        <v>312</v>
      </c>
    </row>
    <row r="33" customFormat="false" ht="15" hidden="false" customHeight="false" outlineLevel="0" collapsed="false">
      <c r="A33" s="0" t="s">
        <v>306</v>
      </c>
      <c r="B33" s="0" t="s">
        <v>252</v>
      </c>
      <c r="C33" s="0" t="n">
        <v>2.9</v>
      </c>
      <c r="F33" s="0" t="s">
        <v>307</v>
      </c>
      <c r="G33" s="0" t="s">
        <v>63</v>
      </c>
      <c r="H33" s="0" t="s">
        <v>294</v>
      </c>
      <c r="I33" s="0" t="s">
        <v>313</v>
      </c>
      <c r="J33" s="0" t="s">
        <v>314</v>
      </c>
      <c r="K33" s="0" t="s">
        <v>310</v>
      </c>
    </row>
    <row r="34" customFormat="false" ht="15" hidden="false" customHeight="false" outlineLevel="0" collapsed="false">
      <c r="A34" s="0" t="s">
        <v>306</v>
      </c>
      <c r="B34" s="0" t="s">
        <v>252</v>
      </c>
      <c r="C34" s="0" t="n">
        <v>0.35</v>
      </c>
      <c r="F34" s="0" t="s">
        <v>311</v>
      </c>
      <c r="G34" s="0" t="s">
        <v>63</v>
      </c>
      <c r="H34" s="0" t="s">
        <v>294</v>
      </c>
      <c r="I34" s="0" t="s">
        <v>313</v>
      </c>
      <c r="J34" s="0" t="s">
        <v>314</v>
      </c>
      <c r="K34" s="0" t="s">
        <v>312</v>
      </c>
    </row>
    <row r="35" customFormat="false" ht="15" hidden="false" customHeight="false" outlineLevel="0" collapsed="false">
      <c r="A35" s="0" t="s">
        <v>306</v>
      </c>
      <c r="B35" s="0" t="s">
        <v>58</v>
      </c>
      <c r="C35" s="0" t="n">
        <v>1.8</v>
      </c>
      <c r="F35" s="0" t="s">
        <v>307</v>
      </c>
      <c r="G35" s="0" t="s">
        <v>63</v>
      </c>
      <c r="H35" s="0" t="s">
        <v>294</v>
      </c>
      <c r="I35" s="0" t="s">
        <v>315</v>
      </c>
      <c r="J35" s="0" t="s">
        <v>316</v>
      </c>
      <c r="K35" s="0" t="s">
        <v>310</v>
      </c>
    </row>
    <row r="36" customFormat="false" ht="15" hidden="false" customHeight="false" outlineLevel="0" collapsed="false">
      <c r="A36" s="0" t="s">
        <v>306</v>
      </c>
      <c r="B36" s="0" t="s">
        <v>58</v>
      </c>
      <c r="C36" s="0" t="n">
        <v>0.25</v>
      </c>
      <c r="F36" s="0" t="s">
        <v>311</v>
      </c>
      <c r="G36" s="0" t="s">
        <v>63</v>
      </c>
      <c r="H36" s="0" t="s">
        <v>294</v>
      </c>
      <c r="I36" s="0" t="s">
        <v>315</v>
      </c>
      <c r="J36" s="0" t="s">
        <v>316</v>
      </c>
      <c r="K36" s="0" t="s">
        <v>312</v>
      </c>
    </row>
    <row r="37" customFormat="false" ht="15" hidden="false" customHeight="false" outlineLevel="0" collapsed="false">
      <c r="A37" s="0" t="s">
        <v>306</v>
      </c>
      <c r="B37" s="0" t="s">
        <v>254</v>
      </c>
      <c r="C37" s="0" t="n">
        <v>1.8</v>
      </c>
      <c r="F37" s="0" t="s">
        <v>307</v>
      </c>
      <c r="G37" s="0" t="s">
        <v>63</v>
      </c>
      <c r="H37" s="0" t="s">
        <v>294</v>
      </c>
      <c r="I37" s="0" t="s">
        <v>315</v>
      </c>
      <c r="J37" s="0" t="s">
        <v>316</v>
      </c>
      <c r="K37" s="0" t="s">
        <v>310</v>
      </c>
    </row>
    <row r="38" customFormat="false" ht="15" hidden="false" customHeight="false" outlineLevel="0" collapsed="false">
      <c r="A38" s="0" t="s">
        <v>306</v>
      </c>
      <c r="B38" s="0" t="s">
        <v>254</v>
      </c>
      <c r="C38" s="0" t="n">
        <v>0.25</v>
      </c>
      <c r="F38" s="0" t="s">
        <v>311</v>
      </c>
      <c r="G38" s="0" t="s">
        <v>63</v>
      </c>
      <c r="H38" s="0" t="s">
        <v>294</v>
      </c>
      <c r="I38" s="0" t="s">
        <v>315</v>
      </c>
      <c r="J38" s="0" t="s">
        <v>316</v>
      </c>
      <c r="K38" s="0" t="s">
        <v>312</v>
      </c>
    </row>
    <row r="39" customFormat="false" ht="15" hidden="false" customHeight="false" outlineLevel="0" collapsed="false">
      <c r="A39" s="0" t="s">
        <v>306</v>
      </c>
      <c r="B39" s="0" t="s">
        <v>256</v>
      </c>
      <c r="C39" s="0" t="n">
        <v>2.9</v>
      </c>
      <c r="F39" s="0" t="s">
        <v>307</v>
      </c>
      <c r="G39" s="0" t="s">
        <v>63</v>
      </c>
      <c r="H39" s="0" t="s">
        <v>294</v>
      </c>
      <c r="I39" s="0" t="s">
        <v>315</v>
      </c>
      <c r="J39" s="0" t="s">
        <v>316</v>
      </c>
      <c r="K39" s="0" t="s">
        <v>310</v>
      </c>
    </row>
    <row r="40" customFormat="false" ht="15" hidden="false" customHeight="false" outlineLevel="0" collapsed="false">
      <c r="A40" s="0" t="s">
        <v>306</v>
      </c>
      <c r="B40" s="0" t="s">
        <v>256</v>
      </c>
      <c r="C40" s="0" t="n">
        <v>0.25</v>
      </c>
      <c r="F40" s="0" t="s">
        <v>311</v>
      </c>
      <c r="G40" s="0" t="s">
        <v>63</v>
      </c>
      <c r="H40" s="0" t="s">
        <v>294</v>
      </c>
      <c r="I40" s="0" t="s">
        <v>315</v>
      </c>
      <c r="J40" s="0" t="s">
        <v>316</v>
      </c>
      <c r="K40" s="0" t="s">
        <v>312</v>
      </c>
    </row>
    <row r="41" customFormat="false" ht="15" hidden="false" customHeight="false" outlineLevel="0" collapsed="false">
      <c r="A41" s="0" t="s">
        <v>306</v>
      </c>
      <c r="B41" s="0" t="s">
        <v>246</v>
      </c>
      <c r="C41" s="0" t="n">
        <v>1.39</v>
      </c>
      <c r="F41" s="0" t="s">
        <v>307</v>
      </c>
      <c r="G41" s="0" t="s">
        <v>63</v>
      </c>
      <c r="H41" s="0" t="s">
        <v>294</v>
      </c>
      <c r="I41" s="0" t="s">
        <v>317</v>
      </c>
      <c r="J41" s="0" t="s">
        <v>318</v>
      </c>
      <c r="K41" s="0" t="s">
        <v>319</v>
      </c>
    </row>
    <row r="42" customFormat="false" ht="15" hidden="false" customHeight="false" outlineLevel="0" collapsed="false">
      <c r="A42" s="0" t="s">
        <v>306</v>
      </c>
      <c r="B42" s="0" t="s">
        <v>260</v>
      </c>
      <c r="C42" s="0" t="n">
        <v>1.69</v>
      </c>
      <c r="F42" s="0" t="s">
        <v>307</v>
      </c>
      <c r="G42" s="0" t="s">
        <v>63</v>
      </c>
      <c r="H42" s="0" t="s">
        <v>294</v>
      </c>
      <c r="I42" s="0" t="s">
        <v>317</v>
      </c>
      <c r="J42" s="0" t="s">
        <v>318</v>
      </c>
      <c r="K42" s="0" t="s">
        <v>319</v>
      </c>
    </row>
    <row r="43" customFormat="false" ht="15" hidden="false" customHeight="false" outlineLevel="0" collapsed="false">
      <c r="A43" s="0" t="s">
        <v>320</v>
      </c>
      <c r="B43" s="0" t="s">
        <v>246</v>
      </c>
      <c r="C43" s="0" t="n">
        <v>152</v>
      </c>
      <c r="F43" s="0" t="s">
        <v>321</v>
      </c>
      <c r="G43" s="0" t="s">
        <v>322</v>
      </c>
      <c r="H43" s="0" t="s">
        <v>294</v>
      </c>
      <c r="I43" s="0" t="s">
        <v>323</v>
      </c>
      <c r="J43" s="0" t="s">
        <v>324</v>
      </c>
      <c r="K43" s="0" t="s">
        <v>325</v>
      </c>
    </row>
    <row r="44" customFormat="false" ht="15" hidden="false" customHeight="false" outlineLevel="0" collapsed="false">
      <c r="A44" s="0" t="s">
        <v>320</v>
      </c>
      <c r="B44" s="0" t="s">
        <v>58</v>
      </c>
      <c r="C44" s="0" t="n">
        <v>54.33</v>
      </c>
      <c r="F44" s="0" t="s">
        <v>326</v>
      </c>
      <c r="G44" s="0" t="s">
        <v>322</v>
      </c>
      <c r="H44" s="0" t="s">
        <v>294</v>
      </c>
      <c r="I44" s="0" t="s">
        <v>327</v>
      </c>
      <c r="J44" s="0" t="s">
        <v>328</v>
      </c>
      <c r="K44" s="0" t="s">
        <v>329</v>
      </c>
    </row>
    <row r="45" customFormat="false" ht="15" hidden="false" customHeight="false" outlineLevel="0" collapsed="false">
      <c r="A45" s="0" t="s">
        <v>330</v>
      </c>
      <c r="B45" s="0" t="s">
        <v>58</v>
      </c>
      <c r="C45" s="0" t="n">
        <v>400</v>
      </c>
      <c r="F45" s="0" t="s">
        <v>331</v>
      </c>
      <c r="G45" s="0" t="s">
        <v>322</v>
      </c>
      <c r="H45" s="0" t="s">
        <v>294</v>
      </c>
      <c r="I45" s="0" t="s">
        <v>332</v>
      </c>
      <c r="J45" s="0" t="s">
        <v>333</v>
      </c>
      <c r="K45" s="0" t="s">
        <v>334</v>
      </c>
    </row>
    <row r="46" customFormat="false" ht="15" hidden="false" customHeight="false" outlineLevel="0" collapsed="false">
      <c r="A46" s="0" t="s">
        <v>330</v>
      </c>
      <c r="B46" s="0" t="s">
        <v>58</v>
      </c>
      <c r="C46" s="0" t="n">
        <v>937</v>
      </c>
      <c r="F46" s="0" t="s">
        <v>335</v>
      </c>
      <c r="G46" s="0" t="s">
        <v>322</v>
      </c>
      <c r="H46" s="0" t="s">
        <v>294</v>
      </c>
      <c r="I46" s="0" t="s">
        <v>336</v>
      </c>
      <c r="J46" s="0" t="s">
        <v>337</v>
      </c>
      <c r="K46" s="0" t="s">
        <v>338</v>
      </c>
    </row>
    <row r="47" customFormat="false" ht="15" hidden="false" customHeight="false" outlineLevel="0" collapsed="false">
      <c r="A47" s="0" t="s">
        <v>339</v>
      </c>
      <c r="B47" s="0" t="s">
        <v>246</v>
      </c>
      <c r="C47" s="0" t="n">
        <v>699</v>
      </c>
      <c r="F47" s="0" t="s">
        <v>331</v>
      </c>
      <c r="G47" s="0" t="s">
        <v>63</v>
      </c>
      <c r="H47" s="0" t="s">
        <v>294</v>
      </c>
      <c r="I47" s="0" t="s">
        <v>340</v>
      </c>
      <c r="J47" s="0" t="s">
        <v>341</v>
      </c>
      <c r="K47" s="0" t="s">
        <v>342</v>
      </c>
    </row>
    <row r="48" customFormat="false" ht="15" hidden="false" customHeight="false" outlineLevel="0" collapsed="false">
      <c r="A48" s="0" t="s">
        <v>339</v>
      </c>
      <c r="B48" s="0" t="s">
        <v>246</v>
      </c>
      <c r="C48" s="0" t="n">
        <v>899</v>
      </c>
      <c r="F48" s="0" t="s">
        <v>331</v>
      </c>
      <c r="G48" s="0" t="s">
        <v>63</v>
      </c>
      <c r="H48" s="0" t="s">
        <v>294</v>
      </c>
      <c r="I48" s="0" t="s">
        <v>340</v>
      </c>
      <c r="J48" s="0" t="s">
        <v>341</v>
      </c>
      <c r="K48" s="0" t="s">
        <v>343</v>
      </c>
    </row>
    <row r="49" customFormat="false" ht="15" hidden="false" customHeight="false" outlineLevel="0" collapsed="false">
      <c r="A49" s="0" t="s">
        <v>339</v>
      </c>
      <c r="B49" s="0" t="s">
        <v>246</v>
      </c>
      <c r="C49" s="0" t="n">
        <v>1099</v>
      </c>
      <c r="F49" s="0" t="s">
        <v>331</v>
      </c>
      <c r="G49" s="0" t="s">
        <v>63</v>
      </c>
      <c r="H49" s="0" t="s">
        <v>294</v>
      </c>
      <c r="I49" s="0" t="s">
        <v>340</v>
      </c>
      <c r="J49" s="0" t="s">
        <v>341</v>
      </c>
      <c r="K49" s="0" t="s">
        <v>344</v>
      </c>
    </row>
    <row r="50" customFormat="false" ht="15" hidden="false" customHeight="false" outlineLevel="0" collapsed="false">
      <c r="A50" s="0" t="s">
        <v>339</v>
      </c>
      <c r="B50" s="0" t="s">
        <v>246</v>
      </c>
      <c r="C50" s="0" t="n">
        <v>1299</v>
      </c>
      <c r="F50" s="0" t="s">
        <v>331</v>
      </c>
      <c r="G50" s="0" t="s">
        <v>63</v>
      </c>
      <c r="H50" s="0" t="s">
        <v>294</v>
      </c>
      <c r="I50" s="0" t="s">
        <v>340</v>
      </c>
      <c r="J50" s="0" t="s">
        <v>341</v>
      </c>
      <c r="K50" s="0" t="s">
        <v>345</v>
      </c>
    </row>
    <row r="51" customFormat="false" ht="15" hidden="false" customHeight="false" outlineLevel="0" collapsed="false">
      <c r="A51" s="0" t="s">
        <v>339</v>
      </c>
      <c r="B51" s="0" t="s">
        <v>246</v>
      </c>
      <c r="C51" s="0" t="n">
        <v>375</v>
      </c>
      <c r="F51" s="0" t="s">
        <v>331</v>
      </c>
      <c r="G51" s="0" t="s">
        <v>63</v>
      </c>
      <c r="H51" s="0" t="s">
        <v>294</v>
      </c>
      <c r="I51" s="0" t="s">
        <v>340</v>
      </c>
      <c r="J51" s="0" t="s">
        <v>341</v>
      </c>
      <c r="K51" s="0" t="s">
        <v>346</v>
      </c>
    </row>
    <row r="52" customFormat="false" ht="15" hidden="false" customHeight="false" outlineLevel="0" collapsed="false">
      <c r="A52" s="0" t="s">
        <v>339</v>
      </c>
      <c r="B52" s="0" t="s">
        <v>246</v>
      </c>
      <c r="C52" s="0" t="n">
        <v>540</v>
      </c>
      <c r="F52" s="0" t="s">
        <v>331</v>
      </c>
      <c r="G52" s="0" t="s">
        <v>63</v>
      </c>
      <c r="H52" s="0" t="s">
        <v>294</v>
      </c>
      <c r="I52" s="0" t="s">
        <v>340</v>
      </c>
      <c r="J52" s="0" t="s">
        <v>341</v>
      </c>
      <c r="K52" s="0" t="s">
        <v>347</v>
      </c>
    </row>
    <row r="53" customFormat="false" ht="15" hidden="false" customHeight="false" outlineLevel="0" collapsed="false">
      <c r="A53" s="0" t="s">
        <v>348</v>
      </c>
      <c r="B53" s="0" t="s">
        <v>246</v>
      </c>
      <c r="C53" s="0" t="n">
        <v>375</v>
      </c>
      <c r="F53" s="0" t="s">
        <v>331</v>
      </c>
      <c r="G53" s="0" t="s">
        <v>63</v>
      </c>
      <c r="H53" s="0" t="s">
        <v>294</v>
      </c>
      <c r="I53" s="0" t="s">
        <v>349</v>
      </c>
      <c r="J53" s="0" t="s">
        <v>350</v>
      </c>
      <c r="K53" s="0" t="s">
        <v>351</v>
      </c>
    </row>
    <row r="54" customFormat="false" ht="15" hidden="false" customHeight="false" outlineLevel="0" collapsed="false">
      <c r="A54" s="0" t="s">
        <v>348</v>
      </c>
      <c r="B54" s="0" t="s">
        <v>246</v>
      </c>
      <c r="C54" s="0" t="n">
        <v>420</v>
      </c>
      <c r="F54" s="0" t="s">
        <v>331</v>
      </c>
      <c r="G54" s="0" t="s">
        <v>63</v>
      </c>
      <c r="H54" s="0" t="s">
        <v>294</v>
      </c>
      <c r="I54" s="0" t="s">
        <v>349</v>
      </c>
      <c r="J54" s="0" t="s">
        <v>350</v>
      </c>
      <c r="K54" s="0" t="s">
        <v>352</v>
      </c>
    </row>
    <row r="55" customFormat="false" ht="15" hidden="false" customHeight="false" outlineLevel="0" collapsed="false">
      <c r="A55" s="0" t="s">
        <v>348</v>
      </c>
      <c r="B55" s="0" t="s">
        <v>246</v>
      </c>
      <c r="C55" s="0" t="n">
        <v>545</v>
      </c>
      <c r="F55" s="0" t="s">
        <v>331</v>
      </c>
      <c r="G55" s="0" t="s">
        <v>63</v>
      </c>
      <c r="H55" s="0" t="s">
        <v>294</v>
      </c>
      <c r="I55" s="0" t="s">
        <v>349</v>
      </c>
      <c r="J55" s="0" t="s">
        <v>350</v>
      </c>
      <c r="K55" s="0" t="s">
        <v>353</v>
      </c>
    </row>
    <row r="56" customFormat="false" ht="15" hidden="false" customHeight="false" outlineLevel="0" collapsed="false">
      <c r="A56" s="0" t="s">
        <v>348</v>
      </c>
      <c r="B56" s="0" t="s">
        <v>246</v>
      </c>
      <c r="C56" s="0" t="n">
        <v>665</v>
      </c>
      <c r="F56" s="0" t="s">
        <v>331</v>
      </c>
      <c r="G56" s="0" t="s">
        <v>63</v>
      </c>
      <c r="H56" s="0" t="s">
        <v>294</v>
      </c>
      <c r="I56" s="0" t="s">
        <v>349</v>
      </c>
      <c r="J56" s="0" t="s">
        <v>350</v>
      </c>
      <c r="K56" s="0" t="s">
        <v>354</v>
      </c>
    </row>
    <row r="57" customFormat="false" ht="15" hidden="false" customHeight="false" outlineLevel="0" collapsed="false">
      <c r="A57" s="0" t="s">
        <v>348</v>
      </c>
      <c r="B57" s="0" t="s">
        <v>246</v>
      </c>
      <c r="C57" s="0" t="n">
        <v>985</v>
      </c>
      <c r="F57" s="0" t="s">
        <v>331</v>
      </c>
      <c r="G57" s="0" t="s">
        <v>63</v>
      </c>
      <c r="H57" s="0" t="s">
        <v>294</v>
      </c>
      <c r="I57" s="0" t="s">
        <v>349</v>
      </c>
      <c r="J57" s="0" t="s">
        <v>350</v>
      </c>
      <c r="K57" s="0" t="s">
        <v>355</v>
      </c>
    </row>
    <row r="58" customFormat="false" ht="15" hidden="false" customHeight="false" outlineLevel="0" collapsed="false">
      <c r="A58" s="0" t="s">
        <v>356</v>
      </c>
      <c r="B58" s="0" t="s">
        <v>260</v>
      </c>
      <c r="D58" s="0" t="n">
        <v>82.3</v>
      </c>
      <c r="E58" s="0" t="n">
        <v>993.6</v>
      </c>
      <c r="F58" s="0" t="s">
        <v>159</v>
      </c>
      <c r="G58" s="0" t="s">
        <v>322</v>
      </c>
      <c r="H58" s="0" t="s">
        <v>294</v>
      </c>
      <c r="I58" s="0" t="s">
        <v>357</v>
      </c>
      <c r="J58" s="0" t="s">
        <v>358</v>
      </c>
      <c r="K58" s="0" t="s">
        <v>359</v>
      </c>
    </row>
    <row r="59" customFormat="false" ht="15" hidden="false" customHeight="false" outlineLevel="0" collapsed="false">
      <c r="A59" s="0" t="s">
        <v>360</v>
      </c>
      <c r="B59" s="0" t="s">
        <v>246</v>
      </c>
      <c r="C59" s="0" t="n">
        <v>46.84</v>
      </c>
      <c r="F59" s="0" t="s">
        <v>361</v>
      </c>
      <c r="G59" s="0" t="s">
        <v>322</v>
      </c>
      <c r="H59" s="0" t="s">
        <v>294</v>
      </c>
      <c r="I59" s="0" t="s">
        <v>362</v>
      </c>
      <c r="J59" s="0" t="s">
        <v>363</v>
      </c>
      <c r="K59" s="0" t="s">
        <v>364</v>
      </c>
    </row>
    <row r="60" customFormat="false" ht="15" hidden="false" customHeight="false" outlineLevel="0" collapsed="false">
      <c r="A60" s="0" t="s">
        <v>365</v>
      </c>
      <c r="B60" s="0" t="s">
        <v>366</v>
      </c>
      <c r="C60" s="0" t="n">
        <v>50.66</v>
      </c>
      <c r="F60" s="0" t="s">
        <v>367</v>
      </c>
      <c r="G60" s="0" t="s">
        <v>322</v>
      </c>
      <c r="H60" s="0" t="s">
        <v>294</v>
      </c>
      <c r="I60" s="0" t="s">
        <v>368</v>
      </c>
      <c r="J60" s="0" t="s">
        <v>369</v>
      </c>
      <c r="K60" s="0" t="s">
        <v>370</v>
      </c>
    </row>
    <row r="61" customFormat="false" ht="15" hidden="false" customHeight="false" outlineLevel="0" collapsed="false">
      <c r="A61" s="0" t="s">
        <v>371</v>
      </c>
      <c r="B61" s="0" t="s">
        <v>252</v>
      </c>
      <c r="D61" s="0" t="n">
        <v>55</v>
      </c>
      <c r="E61" s="0" t="n">
        <v>75</v>
      </c>
      <c r="F61" s="0" t="s">
        <v>361</v>
      </c>
      <c r="G61" s="0" t="s">
        <v>322</v>
      </c>
      <c r="H61" s="0" t="s">
        <v>294</v>
      </c>
      <c r="I61" s="0" t="s">
        <v>372</v>
      </c>
      <c r="J61" s="0" t="s">
        <v>373</v>
      </c>
      <c r="K61" s="0" t="s">
        <v>374</v>
      </c>
    </row>
    <row r="62" customFormat="false" ht="15" hidden="false" customHeight="false" outlineLevel="0" collapsed="false">
      <c r="A62" s="0" t="s">
        <v>371</v>
      </c>
      <c r="B62" s="0" t="s">
        <v>248</v>
      </c>
      <c r="D62" s="0" t="n">
        <v>25</v>
      </c>
      <c r="E62" s="0" t="n">
        <v>50</v>
      </c>
      <c r="F62" s="0" t="s">
        <v>375</v>
      </c>
      <c r="G62" s="0" t="s">
        <v>322</v>
      </c>
      <c r="H62" s="0" t="s">
        <v>294</v>
      </c>
      <c r="I62" s="0" t="s">
        <v>376</v>
      </c>
      <c r="J62" s="0" t="s">
        <v>377</v>
      </c>
      <c r="K62" s="0" t="s">
        <v>378</v>
      </c>
    </row>
    <row r="63" customFormat="false" ht="15" hidden="false" customHeight="false" outlineLevel="0" collapsed="false">
      <c r="A63" s="0" t="s">
        <v>371</v>
      </c>
      <c r="B63" s="0" t="s">
        <v>248</v>
      </c>
      <c r="D63" s="0" t="n">
        <v>15</v>
      </c>
      <c r="E63" s="0" t="n">
        <v>30</v>
      </c>
      <c r="F63" s="0" t="s">
        <v>379</v>
      </c>
      <c r="G63" s="0" t="s">
        <v>322</v>
      </c>
      <c r="H63" s="0" t="s">
        <v>294</v>
      </c>
      <c r="I63" s="0" t="s">
        <v>376</v>
      </c>
      <c r="J63" s="0" t="s">
        <v>377</v>
      </c>
      <c r="K63" s="0" t="s">
        <v>380</v>
      </c>
    </row>
    <row r="64" customFormat="false" ht="15" hidden="false" customHeight="false" outlineLevel="0" collapsed="false">
      <c r="A64" s="0" t="s">
        <v>371</v>
      </c>
      <c r="B64" s="0" t="s">
        <v>254</v>
      </c>
      <c r="D64" s="0" t="n">
        <v>10.74</v>
      </c>
      <c r="E64" s="0" t="n">
        <v>16.17</v>
      </c>
      <c r="F64" s="0" t="s">
        <v>379</v>
      </c>
      <c r="G64" s="0" t="s">
        <v>322</v>
      </c>
      <c r="H64" s="0" t="s">
        <v>294</v>
      </c>
      <c r="I64" s="0" t="s">
        <v>381</v>
      </c>
      <c r="J64" s="0" t="s">
        <v>382</v>
      </c>
      <c r="K64" s="0" t="s">
        <v>380</v>
      </c>
    </row>
    <row r="65" customFormat="false" ht="15" hidden="false" customHeight="false" outlineLevel="0" collapsed="false">
      <c r="A65" s="0" t="s">
        <v>371</v>
      </c>
      <c r="B65" s="0" t="s">
        <v>260</v>
      </c>
      <c r="C65" s="0" t="n">
        <v>37</v>
      </c>
      <c r="F65" s="0" t="s">
        <v>361</v>
      </c>
      <c r="G65" s="0" t="s">
        <v>322</v>
      </c>
      <c r="H65" s="0" t="s">
        <v>294</v>
      </c>
      <c r="I65" s="0" t="s">
        <v>383</v>
      </c>
      <c r="J65" s="0" t="s">
        <v>384</v>
      </c>
      <c r="K65" s="0" t="s">
        <v>385</v>
      </c>
    </row>
    <row r="66" customFormat="false" ht="15" hidden="false" customHeight="false" outlineLevel="0" collapsed="false">
      <c r="A66" s="0" t="s">
        <v>386</v>
      </c>
      <c r="B66" s="0" t="s">
        <v>387</v>
      </c>
      <c r="C66" s="0" t="n">
        <v>52</v>
      </c>
      <c r="F66" s="0" t="s">
        <v>388</v>
      </c>
      <c r="G66" s="0" t="s">
        <v>63</v>
      </c>
      <c r="H66" s="0" t="s">
        <v>294</v>
      </c>
      <c r="I66" s="0" t="s">
        <v>389</v>
      </c>
      <c r="J66" s="0" t="s">
        <v>390</v>
      </c>
      <c r="K66" s="0" t="s">
        <v>391</v>
      </c>
    </row>
    <row r="67" customFormat="false" ht="15" hidden="false" customHeight="false" outlineLevel="0" collapsed="false">
      <c r="A67" s="0" t="s">
        <v>386</v>
      </c>
      <c r="B67" s="0" t="s">
        <v>387</v>
      </c>
      <c r="C67" s="0" t="n">
        <v>45</v>
      </c>
      <c r="F67" s="0" t="s">
        <v>388</v>
      </c>
      <c r="G67" s="0" t="s">
        <v>63</v>
      </c>
      <c r="H67" s="0" t="s">
        <v>294</v>
      </c>
      <c r="I67" s="0" t="s">
        <v>389</v>
      </c>
      <c r="J67" s="0" t="s">
        <v>390</v>
      </c>
      <c r="K67" s="0" t="s">
        <v>392</v>
      </c>
    </row>
    <row r="68" customFormat="false" ht="15" hidden="false" customHeight="false" outlineLevel="0" collapsed="false">
      <c r="A68" s="0" t="s">
        <v>386</v>
      </c>
      <c r="B68" s="0" t="s">
        <v>387</v>
      </c>
      <c r="C68" s="0" t="n">
        <v>100</v>
      </c>
      <c r="F68" s="0" t="s">
        <v>388</v>
      </c>
      <c r="G68" s="0" t="s">
        <v>63</v>
      </c>
      <c r="H68" s="0" t="s">
        <v>294</v>
      </c>
      <c r="I68" s="0" t="s">
        <v>389</v>
      </c>
      <c r="J68" s="0" t="s">
        <v>390</v>
      </c>
      <c r="K68" s="0" t="s">
        <v>393</v>
      </c>
    </row>
    <row r="69" customFormat="false" ht="15" hidden="false" customHeight="false" outlineLevel="0" collapsed="false">
      <c r="A69" s="0" t="s">
        <v>394</v>
      </c>
      <c r="B69" s="0" t="s">
        <v>248</v>
      </c>
      <c r="C69" s="0" t="n">
        <v>900</v>
      </c>
      <c r="F69" s="0" t="s">
        <v>331</v>
      </c>
      <c r="G69" s="0" t="s">
        <v>63</v>
      </c>
      <c r="H69" s="0" t="s">
        <v>294</v>
      </c>
      <c r="I69" s="0" t="s">
        <v>395</v>
      </c>
      <c r="J69" s="0" t="s">
        <v>396</v>
      </c>
      <c r="K69" s="0" t="s">
        <v>397</v>
      </c>
    </row>
    <row r="70" customFormat="false" ht="15" hidden="false" customHeight="false" outlineLevel="0" collapsed="false">
      <c r="A70" s="0" t="s">
        <v>394</v>
      </c>
      <c r="B70" s="0" t="s">
        <v>248</v>
      </c>
      <c r="C70" s="0" t="n">
        <v>450</v>
      </c>
      <c r="F70" s="0" t="s">
        <v>331</v>
      </c>
      <c r="G70" s="0" t="s">
        <v>63</v>
      </c>
      <c r="H70" s="0" t="s">
        <v>294</v>
      </c>
      <c r="I70" s="0" t="s">
        <v>395</v>
      </c>
      <c r="J70" s="0" t="s">
        <v>396</v>
      </c>
      <c r="K70" s="0" t="s">
        <v>398</v>
      </c>
    </row>
    <row r="71" customFormat="false" ht="15" hidden="false" customHeight="false" outlineLevel="0" collapsed="false">
      <c r="A71" s="0" t="s">
        <v>394</v>
      </c>
      <c r="B71" s="0" t="s">
        <v>248</v>
      </c>
      <c r="C71" s="0" t="n">
        <v>650</v>
      </c>
      <c r="F71" s="0" t="s">
        <v>331</v>
      </c>
      <c r="G71" s="0" t="s">
        <v>63</v>
      </c>
      <c r="H71" s="0" t="s">
        <v>294</v>
      </c>
      <c r="I71" s="0" t="s">
        <v>395</v>
      </c>
      <c r="J71" s="0" t="s">
        <v>396</v>
      </c>
      <c r="K71" s="0" t="s">
        <v>398</v>
      </c>
    </row>
    <row r="72" customFormat="false" ht="15" hidden="false" customHeight="false" outlineLevel="0" collapsed="false">
      <c r="A72" s="0" t="s">
        <v>394</v>
      </c>
      <c r="B72" s="0" t="s">
        <v>252</v>
      </c>
      <c r="C72" s="0" t="n">
        <v>1100</v>
      </c>
      <c r="F72" s="0" t="s">
        <v>331</v>
      </c>
      <c r="G72" s="0" t="s">
        <v>63</v>
      </c>
      <c r="H72" s="0" t="s">
        <v>294</v>
      </c>
      <c r="I72" s="0" t="s">
        <v>395</v>
      </c>
      <c r="J72" s="0" t="s">
        <v>399</v>
      </c>
      <c r="K72" s="0" t="s">
        <v>400</v>
      </c>
    </row>
    <row r="73" customFormat="false" ht="15" hidden="false" customHeight="false" outlineLevel="0" collapsed="false">
      <c r="A73" s="0" t="s">
        <v>394</v>
      </c>
      <c r="B73" s="0" t="s">
        <v>252</v>
      </c>
      <c r="C73" s="0" t="n">
        <v>1450</v>
      </c>
      <c r="F73" s="0" t="s">
        <v>331</v>
      </c>
      <c r="G73" s="0" t="s">
        <v>63</v>
      </c>
      <c r="H73" s="0" t="s">
        <v>294</v>
      </c>
      <c r="I73" s="0" t="s">
        <v>395</v>
      </c>
      <c r="J73" s="0" t="s">
        <v>399</v>
      </c>
      <c r="K73" s="0" t="s">
        <v>401</v>
      </c>
    </row>
    <row r="74" customFormat="false" ht="15" hidden="false" customHeight="false" outlineLevel="0" collapsed="false">
      <c r="A74" s="0" t="s">
        <v>394</v>
      </c>
      <c r="B74" s="0" t="s">
        <v>246</v>
      </c>
      <c r="C74" s="0" t="n">
        <v>880</v>
      </c>
      <c r="F74" s="0" t="s">
        <v>331</v>
      </c>
      <c r="G74" s="0" t="s">
        <v>63</v>
      </c>
      <c r="H74" s="0" t="s">
        <v>294</v>
      </c>
      <c r="I74" s="0" t="s">
        <v>395</v>
      </c>
      <c r="J74" s="0" t="s">
        <v>402</v>
      </c>
      <c r="K74" s="0" t="s">
        <v>401</v>
      </c>
    </row>
    <row r="75" customFormat="false" ht="15" hidden="false" customHeight="false" outlineLevel="0" collapsed="false">
      <c r="A75" s="0" t="s">
        <v>394</v>
      </c>
      <c r="B75" s="0" t="s">
        <v>246</v>
      </c>
      <c r="C75" s="0" t="n">
        <v>620</v>
      </c>
      <c r="F75" s="0" t="s">
        <v>331</v>
      </c>
      <c r="G75" s="0" t="s">
        <v>63</v>
      </c>
      <c r="H75" s="0" t="s">
        <v>294</v>
      </c>
      <c r="I75" s="0" t="s">
        <v>395</v>
      </c>
      <c r="J75" s="0" t="s">
        <v>402</v>
      </c>
      <c r="K75" s="0" t="s">
        <v>403</v>
      </c>
    </row>
    <row r="76" customFormat="false" ht="15" hidden="false" customHeight="false" outlineLevel="0" collapsed="false">
      <c r="A76" s="0" t="s">
        <v>404</v>
      </c>
      <c r="B76" s="0" t="s">
        <v>246</v>
      </c>
      <c r="C76" s="0" t="n">
        <v>12</v>
      </c>
      <c r="F76" s="0" t="s">
        <v>405</v>
      </c>
      <c r="G76" s="0" t="s">
        <v>63</v>
      </c>
      <c r="H76" s="0" t="s">
        <v>294</v>
      </c>
      <c r="I76" s="0" t="s">
        <v>406</v>
      </c>
      <c r="J76" s="0" t="s">
        <v>407</v>
      </c>
      <c r="K76" s="0" t="s">
        <v>408</v>
      </c>
    </row>
    <row r="78" customFormat="false" ht="15" hidden="false" customHeight="false" outlineLevel="0" collapsed="false">
      <c r="A78" s="19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2026-10-22T09:00:08Z</dcterms:created>
  <dc:creator>openpyxl</dc:creator>
  <dc:description/>
  <dc:language>en-US</dc:language>
  <cp:lastModifiedBy/>
  <dcterms:modified xsi:type="dcterms:W3CDTF">2026-10-22T09:00:08Z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